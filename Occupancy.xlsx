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monaTican/Desktop/DTU/Master's/Quatitative methods to assess sustainability/"/>
    </mc:Choice>
  </mc:AlternateContent>
  <xr:revisionPtr revIDLastSave="0" documentId="13_ncr:1_{015FB48C-D9EE-AE45-B982-B07DFF053809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VEJ2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C10" i="2" l="1"/>
  <c r="C26" i="2" s="1"/>
  <c r="D10" i="2"/>
  <c r="D26" i="2" s="1"/>
  <c r="E10" i="2"/>
  <c r="E26" i="2" s="1"/>
  <c r="F10" i="2"/>
  <c r="F26" i="2" s="1"/>
  <c r="G10" i="2"/>
  <c r="G26" i="2" s="1"/>
  <c r="H10" i="2"/>
  <c r="H26" i="2" s="1"/>
  <c r="I10" i="2"/>
  <c r="I26" i="2" s="1"/>
  <c r="J10" i="2"/>
  <c r="J26" i="2" s="1"/>
  <c r="K10" i="2"/>
  <c r="K26" i="2" s="1"/>
  <c r="L10" i="2"/>
  <c r="L26" i="2" s="1"/>
  <c r="M10" i="2"/>
  <c r="M26" i="2" s="1"/>
  <c r="N10" i="2"/>
  <c r="N26" i="2" s="1"/>
  <c r="O10" i="2"/>
  <c r="O26" i="2" s="1"/>
  <c r="P10" i="2"/>
  <c r="P26" i="2" s="1"/>
  <c r="Q10" i="2"/>
  <c r="Q26" i="2" s="1"/>
  <c r="R10" i="2"/>
  <c r="R26" i="2" s="1"/>
  <c r="B10" i="2"/>
  <c r="B26" i="2" s="1"/>
  <c r="C8" i="2"/>
  <c r="C24" i="2" s="1"/>
  <c r="D8" i="2"/>
  <c r="D24" i="2" s="1"/>
  <c r="E8" i="2"/>
  <c r="E24" i="2" s="1"/>
  <c r="F8" i="2"/>
  <c r="F24" i="2" s="1"/>
  <c r="G8" i="2"/>
  <c r="G24" i="2" s="1"/>
  <c r="H8" i="2"/>
  <c r="H24" i="2" s="1"/>
  <c r="I8" i="2"/>
  <c r="I24" i="2" s="1"/>
  <c r="J8" i="2"/>
  <c r="J24" i="2" s="1"/>
  <c r="K8" i="2"/>
  <c r="K24" i="2" s="1"/>
  <c r="L8" i="2"/>
  <c r="L24" i="2" s="1"/>
  <c r="M8" i="2"/>
  <c r="M24" i="2" s="1"/>
  <c r="N8" i="2"/>
  <c r="N24" i="2" s="1"/>
  <c r="O8" i="2"/>
  <c r="O24" i="2" s="1"/>
  <c r="P8" i="2"/>
  <c r="P24" i="2" s="1"/>
  <c r="Q8" i="2"/>
  <c r="Q24" i="2" s="1"/>
  <c r="R8" i="2"/>
  <c r="R24" i="2" s="1"/>
  <c r="B8" i="2"/>
  <c r="B24" i="2" s="1"/>
</calcChain>
</file>

<file path=xl/sharedStrings.xml><?xml version="1.0" encoding="utf-8"?>
<sst xmlns="http://schemas.openxmlformats.org/spreadsheetml/2006/main" count="70" uniqueCount="32">
  <si>
    <t>Road traffic of Danish vehicles on Danish roads by means of transport and time</t>
  </si>
  <si>
    <t>Units: m vehicle km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</si>
  <si>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</si>
  <si>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</si>
  <si>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</si>
  <si>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</si>
  <si>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</si>
  <si>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</si>
  <si>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</si>
  <si>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</si>
  <si>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</si>
  <si>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</si>
  <si>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</si>
  <si>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</si>
  <si>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</si>
  <si>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</si>
  <si>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</si>
  <si>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</si>
  <si>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</si>
  <si>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Private cars</t>
  </si>
  <si>
    <t>Vans  with a petrol engine, total weight under 2,001 kg</t>
  </si>
  <si>
    <t>Vans with diesel engine etc., total weight under 2,001 kg</t>
  </si>
  <si>
    <t>Buses and coaches total</t>
  </si>
  <si>
    <t>Passenger transport performance by means of transport and time</t>
  </si>
  <si>
    <t>Units: m person km</t>
  </si>
  <si>
    <t>Private cars and vans under 2.001 kg.</t>
  </si>
  <si>
    <t>Train</t>
  </si>
  <si>
    <t>Occupancy</t>
  </si>
  <si>
    <t>Trains</t>
  </si>
  <si>
    <t>Passenger trains, total (1000 train km)</t>
  </si>
  <si>
    <t>Passenger trains, total (m train km)</t>
  </si>
  <si>
    <t>Units: number (round passenger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</si>
</sst>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zoomScale="119" workbookViewId="0">
      <selection activeCell="B24" sqref="B24:R24"/>
    </sheetView>
  </sheetViews>
  <sheetFormatPr baseColWidth="10" defaultColWidth="8.83203125" defaultRowHeight="15" x14ac:dyDescent="0.2"/>
  <cols>
    <col min="1" max="1" width="74.1640625" bestFit="1" customWidth="1"/>
    <col min="2" max="2" width="7.33203125" customWidth="1"/>
    <col min="3" max="18" width="7" customWidth="1"/>
  </cols>
  <sheetData>
    <row r="1" spans="1:18" ht="17" x14ac:dyDescent="0.2">
      <c r="A1" s="1" t="s">
        <v>0</v>
      </c>
    </row>
    <row r="2" spans="1:18" x14ac:dyDescent="0.2">
      <c r="A2" s="2" t="s">
        <v>1</v>
      </c>
    </row>
    <row r="3" spans="1:18" x14ac:dyDescent="0.2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</row>
    <row r="4" spans="1:18" x14ac:dyDescent="0.2">
      <c r="A4" s="3" t="s">
        <v>19</v>
      </c>
      <c r="B4" s="4">
        <v>33034</v>
      </c>
      <c r="C4" s="4">
        <v>33266</v>
      </c>
      <c r="D4" s="4">
        <v>33339</v>
      </c>
      <c r="E4" s="4">
        <v>33256</v>
      </c>
      <c r="F4" s="4">
        <v>34435</v>
      </c>
      <c r="G4" s="4">
        <v>34895</v>
      </c>
      <c r="H4" s="4">
        <v>35611</v>
      </c>
      <c r="I4" s="4">
        <v>36841</v>
      </c>
      <c r="J4" s="4">
        <v>38188</v>
      </c>
      <c r="K4" s="4">
        <v>39470</v>
      </c>
      <c r="L4" s="4">
        <v>40181</v>
      </c>
      <c r="M4" s="4">
        <v>40827</v>
      </c>
      <c r="N4" s="4">
        <v>41466</v>
      </c>
      <c r="O4" s="4">
        <v>38388</v>
      </c>
      <c r="P4" s="4">
        <v>40006</v>
      </c>
      <c r="Q4" s="4">
        <v>40898</v>
      </c>
      <c r="R4" s="4">
        <v>41870</v>
      </c>
    </row>
    <row r="5" spans="1:18" x14ac:dyDescent="0.2">
      <c r="A5" s="3" t="s">
        <v>22</v>
      </c>
      <c r="B5" s="4">
        <v>582</v>
      </c>
      <c r="C5" s="4">
        <v>582</v>
      </c>
      <c r="D5" s="4">
        <v>585</v>
      </c>
      <c r="E5" s="4">
        <v>584</v>
      </c>
      <c r="F5" s="4">
        <v>573</v>
      </c>
      <c r="G5" s="4">
        <v>567</v>
      </c>
      <c r="H5" s="4">
        <v>567</v>
      </c>
      <c r="I5" s="4">
        <v>580</v>
      </c>
      <c r="J5" s="4">
        <v>607</v>
      </c>
      <c r="K5" s="4">
        <v>627</v>
      </c>
      <c r="L5" s="4">
        <v>648</v>
      </c>
      <c r="M5" s="4">
        <v>642</v>
      </c>
      <c r="N5" s="4">
        <v>630</v>
      </c>
      <c r="O5" s="4">
        <v>567</v>
      </c>
      <c r="P5" s="4">
        <v>624</v>
      </c>
      <c r="Q5" s="4">
        <v>686</v>
      </c>
      <c r="R5" s="4">
        <v>705</v>
      </c>
    </row>
    <row r="6" spans="1:18" x14ac:dyDescent="0.2">
      <c r="A6" s="3" t="s">
        <v>20</v>
      </c>
      <c r="B6" s="4">
        <v>413</v>
      </c>
      <c r="C6" s="4">
        <v>466</v>
      </c>
      <c r="D6" s="4">
        <v>414</v>
      </c>
      <c r="E6" s="4">
        <v>365</v>
      </c>
      <c r="F6" s="4">
        <v>339</v>
      </c>
      <c r="G6" s="4">
        <v>318</v>
      </c>
      <c r="H6" s="4">
        <v>306</v>
      </c>
      <c r="I6" s="4">
        <v>304</v>
      </c>
      <c r="J6" s="4">
        <v>307</v>
      </c>
      <c r="K6" s="4">
        <v>316</v>
      </c>
      <c r="L6" s="4">
        <v>314</v>
      </c>
      <c r="M6" s="4">
        <v>303</v>
      </c>
      <c r="N6" s="4">
        <v>292</v>
      </c>
      <c r="O6" s="4">
        <v>272</v>
      </c>
      <c r="P6" s="4">
        <v>294</v>
      </c>
      <c r="Q6" s="4">
        <v>321</v>
      </c>
      <c r="R6" s="4">
        <v>327</v>
      </c>
    </row>
    <row r="7" spans="1:18" x14ac:dyDescent="0.2">
      <c r="A7" s="3" t="s">
        <v>21</v>
      </c>
      <c r="B7" s="4">
        <v>538</v>
      </c>
      <c r="C7" s="4">
        <v>977</v>
      </c>
      <c r="D7" s="4">
        <v>972</v>
      </c>
      <c r="E7" s="4">
        <v>964</v>
      </c>
      <c r="F7" s="4">
        <v>1037</v>
      </c>
      <c r="G7" s="4">
        <v>1146</v>
      </c>
      <c r="H7" s="4">
        <v>1252</v>
      </c>
      <c r="I7" s="4">
        <v>1355</v>
      </c>
      <c r="J7" s="4">
        <v>1446</v>
      </c>
      <c r="K7" s="4">
        <v>1492</v>
      </c>
      <c r="L7" s="4">
        <v>1499</v>
      </c>
      <c r="M7" s="4">
        <v>1465</v>
      </c>
      <c r="N7" s="4">
        <v>1394</v>
      </c>
      <c r="O7" s="4">
        <v>1314</v>
      </c>
      <c r="P7" s="4">
        <v>1293</v>
      </c>
      <c r="Q7" s="4">
        <v>1285</v>
      </c>
      <c r="R7" s="4">
        <v>1269</v>
      </c>
    </row>
    <row r="8" spans="1:18" x14ac:dyDescent="0.2">
      <c r="A8" s="3" t="s">
        <v>25</v>
      </c>
      <c r="B8" s="4">
        <f>B4+B6+B7</f>
        <v>33985</v>
      </c>
      <c r="C8" s="4">
        <f t="shared" ref="C8:R8" si="0">C4+C6+C7</f>
        <v>34709</v>
      </c>
      <c r="D8" s="4">
        <f t="shared" si="0"/>
        <v>34725</v>
      </c>
      <c r="E8" s="4">
        <f t="shared" si="0"/>
        <v>34585</v>
      </c>
      <c r="F8" s="4">
        <f t="shared" si="0"/>
        <v>35811</v>
      </c>
      <c r="G8" s="4">
        <f t="shared" si="0"/>
        <v>36359</v>
      </c>
      <c r="H8" s="4">
        <f t="shared" si="0"/>
        <v>37169</v>
      </c>
      <c r="I8" s="4">
        <f t="shared" si="0"/>
        <v>38500</v>
      </c>
      <c r="J8" s="4">
        <f t="shared" si="0"/>
        <v>39941</v>
      </c>
      <c r="K8" s="4">
        <f t="shared" si="0"/>
        <v>41278</v>
      </c>
      <c r="L8" s="4">
        <f t="shared" si="0"/>
        <v>41994</v>
      </c>
      <c r="M8" s="4">
        <f t="shared" si="0"/>
        <v>42595</v>
      </c>
      <c r="N8" s="4">
        <f t="shared" si="0"/>
        <v>43152</v>
      </c>
      <c r="O8" s="4">
        <f t="shared" si="0"/>
        <v>39974</v>
      </c>
      <c r="P8" s="4">
        <f t="shared" si="0"/>
        <v>41593</v>
      </c>
      <c r="Q8" s="4">
        <f t="shared" si="0"/>
        <v>42504</v>
      </c>
      <c r="R8" s="4">
        <f t="shared" si="0"/>
        <v>43466</v>
      </c>
    </row>
    <row r="9" spans="1:18" x14ac:dyDescent="0.2">
      <c r="A9" s="3" t="s">
        <v>29</v>
      </c>
      <c r="B9" s="4">
        <v>62443</v>
      </c>
      <c r="C9" s="4">
        <v>65189</v>
      </c>
      <c r="D9" s="4">
        <v>64788</v>
      </c>
      <c r="E9" s="4">
        <v>64883</v>
      </c>
      <c r="F9" s="4">
        <v>66065</v>
      </c>
      <c r="G9" s="4">
        <v>65385</v>
      </c>
      <c r="H9" s="4">
        <v>67045</v>
      </c>
      <c r="I9" s="4">
        <v>66670</v>
      </c>
      <c r="J9" s="4">
        <v>65817</v>
      </c>
      <c r="K9" s="4">
        <v>64445</v>
      </c>
      <c r="L9" s="4">
        <v>62965</v>
      </c>
      <c r="M9" s="4">
        <v>61602</v>
      </c>
      <c r="N9" s="4">
        <v>62216</v>
      </c>
      <c r="O9" s="4">
        <v>61108</v>
      </c>
      <c r="P9" s="4">
        <v>61639</v>
      </c>
      <c r="Q9" s="4">
        <v>61254</v>
      </c>
      <c r="R9" s="4">
        <v>63873</v>
      </c>
    </row>
    <row r="10" spans="1:18" x14ac:dyDescent="0.2">
      <c r="A10" s="3" t="s">
        <v>30</v>
      </c>
      <c r="B10" s="4">
        <f>B9/1000</f>
        <v>62.442999999999998</v>
      </c>
      <c r="C10" s="4">
        <f t="shared" ref="C10:R10" si="1">C9/1000</f>
        <v>65.188999999999993</v>
      </c>
      <c r="D10" s="4">
        <f t="shared" si="1"/>
        <v>64.787999999999997</v>
      </c>
      <c r="E10" s="4">
        <f t="shared" si="1"/>
        <v>64.882999999999996</v>
      </c>
      <c r="F10" s="4">
        <f t="shared" si="1"/>
        <v>66.064999999999998</v>
      </c>
      <c r="G10" s="4">
        <f t="shared" si="1"/>
        <v>65.385000000000005</v>
      </c>
      <c r="H10" s="4">
        <f t="shared" si="1"/>
        <v>67.045000000000002</v>
      </c>
      <c r="I10" s="4">
        <f t="shared" si="1"/>
        <v>66.67</v>
      </c>
      <c r="J10" s="4">
        <f t="shared" si="1"/>
        <v>65.816999999999993</v>
      </c>
      <c r="K10" s="4">
        <f t="shared" si="1"/>
        <v>64.444999999999993</v>
      </c>
      <c r="L10" s="4">
        <f t="shared" si="1"/>
        <v>62.965000000000003</v>
      </c>
      <c r="M10" s="4">
        <f t="shared" si="1"/>
        <v>61.601999999999997</v>
      </c>
      <c r="N10" s="4">
        <f t="shared" si="1"/>
        <v>62.216000000000001</v>
      </c>
      <c r="O10" s="4">
        <f t="shared" si="1"/>
        <v>61.107999999999997</v>
      </c>
      <c r="P10" s="4">
        <f t="shared" si="1"/>
        <v>61.639000000000003</v>
      </c>
      <c r="Q10" s="4">
        <f t="shared" si="1"/>
        <v>61.253999999999998</v>
      </c>
      <c r="R10" s="4">
        <f t="shared" si="1"/>
        <v>63.872999999999998</v>
      </c>
    </row>
    <row r="11" spans="1:18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3" spans="1:18" ht="17" x14ac:dyDescent="0.2">
      <c r="A13" s="1" t="s">
        <v>23</v>
      </c>
    </row>
    <row r="14" spans="1:18" x14ac:dyDescent="0.2">
      <c r="A14" s="2" t="s">
        <v>24</v>
      </c>
    </row>
    <row r="15" spans="1:18" x14ac:dyDescent="0.2">
      <c r="B15" s="3" t="s">
        <v>2</v>
      </c>
      <c r="C15" s="3" t="s">
        <v>3</v>
      </c>
      <c r="D15" s="3" t="s">
        <v>4</v>
      </c>
      <c r="E15" s="3" t="s">
        <v>5</v>
      </c>
      <c r="F15" s="3" t="s">
        <v>6</v>
      </c>
      <c r="G15" s="3" t="s">
        <v>7</v>
      </c>
      <c r="H15" s="3" t="s">
        <v>8</v>
      </c>
      <c r="I15" s="3" t="s">
        <v>9</v>
      </c>
      <c r="J15" s="3" t="s">
        <v>10</v>
      </c>
      <c r="K15" s="3" t="s">
        <v>11</v>
      </c>
      <c r="L15" s="3" t="s">
        <v>12</v>
      </c>
      <c r="M15" s="3" t="s">
        <v>13</v>
      </c>
      <c r="N15" s="3" t="s">
        <v>14</v>
      </c>
      <c r="O15" s="3" t="s">
        <v>15</v>
      </c>
      <c r="P15" s="3" t="s">
        <v>16</v>
      </c>
      <c r="Q15" s="3" t="s">
        <v>17</v>
      </c>
      <c r="R15" s="3" t="s">
        <v>18</v>
      </c>
    </row>
    <row r="16" spans="1:18" x14ac:dyDescent="0.2">
      <c r="A16" s="3" t="s">
        <v>25</v>
      </c>
      <c r="B16" s="4">
        <v>50298</v>
      </c>
      <c r="C16" s="4">
        <v>51326</v>
      </c>
      <c r="D16" s="4">
        <v>51504</v>
      </c>
      <c r="E16" s="4">
        <v>51299</v>
      </c>
      <c r="F16" s="4">
        <v>52583</v>
      </c>
      <c r="G16" s="4">
        <v>52307</v>
      </c>
      <c r="H16" s="4">
        <v>52559</v>
      </c>
      <c r="I16" s="4">
        <v>54064</v>
      </c>
      <c r="J16" s="4">
        <v>56511</v>
      </c>
      <c r="K16" s="4">
        <v>58731</v>
      </c>
      <c r="L16" s="4">
        <v>59736</v>
      </c>
      <c r="M16" s="4">
        <v>60897</v>
      </c>
      <c r="N16" s="4">
        <v>62391</v>
      </c>
      <c r="O16" s="4">
        <v>57561</v>
      </c>
      <c r="P16" s="4">
        <v>59680</v>
      </c>
      <c r="Q16" s="4">
        <v>60453</v>
      </c>
      <c r="R16" s="4">
        <v>61990</v>
      </c>
    </row>
    <row r="17" spans="1:18" x14ac:dyDescent="0.2">
      <c r="A17" s="3" t="s">
        <v>22</v>
      </c>
      <c r="B17" s="4">
        <v>6845</v>
      </c>
      <c r="C17" s="4">
        <v>6745</v>
      </c>
      <c r="D17" s="4">
        <v>6761</v>
      </c>
      <c r="E17" s="4">
        <v>6837</v>
      </c>
      <c r="F17" s="4">
        <v>6684</v>
      </c>
      <c r="G17" s="4">
        <v>6477</v>
      </c>
      <c r="H17" s="4">
        <v>6475</v>
      </c>
      <c r="I17" s="4">
        <v>6567</v>
      </c>
      <c r="J17" s="4">
        <v>6850</v>
      </c>
      <c r="K17" s="4">
        <v>7069</v>
      </c>
      <c r="L17" s="4">
        <v>7300</v>
      </c>
      <c r="M17" s="4">
        <v>7206</v>
      </c>
      <c r="N17" s="4">
        <v>6992</v>
      </c>
      <c r="O17" s="4">
        <v>4547</v>
      </c>
      <c r="P17" s="4">
        <v>4834</v>
      </c>
      <c r="Q17" s="4">
        <v>8195</v>
      </c>
      <c r="R17" s="4">
        <v>7826</v>
      </c>
    </row>
    <row r="18" spans="1:18" x14ac:dyDescent="0.2">
      <c r="A18" s="3" t="s">
        <v>26</v>
      </c>
      <c r="B18" s="4">
        <v>6353</v>
      </c>
      <c r="C18" s="4">
        <v>6475</v>
      </c>
      <c r="D18" s="4">
        <v>6367</v>
      </c>
      <c r="E18" s="4">
        <v>6577</v>
      </c>
      <c r="F18" s="4">
        <v>6643</v>
      </c>
      <c r="G18" s="4">
        <v>6791</v>
      </c>
      <c r="H18" s="4">
        <v>6835</v>
      </c>
      <c r="I18" s="4">
        <v>6795</v>
      </c>
      <c r="J18" s="4">
        <v>6808</v>
      </c>
      <c r="K18" s="4">
        <v>6646</v>
      </c>
      <c r="L18" s="4">
        <v>6622</v>
      </c>
      <c r="M18" s="4">
        <v>6547</v>
      </c>
      <c r="N18" s="4">
        <v>6625</v>
      </c>
      <c r="O18" s="4">
        <v>4262</v>
      </c>
      <c r="P18" s="4">
        <v>4551</v>
      </c>
      <c r="Q18" s="4">
        <v>6376</v>
      </c>
      <c r="R18" s="4">
        <v>6657</v>
      </c>
    </row>
    <row r="19" spans="1:18" x14ac:dyDescent="0.2">
      <c r="A19" s="3"/>
    </row>
    <row r="21" spans="1:18" x14ac:dyDescent="0.2">
      <c r="A21" s="3" t="s">
        <v>27</v>
      </c>
    </row>
    <row r="22" spans="1:18" x14ac:dyDescent="0.2">
      <c r="A22" s="6" t="s">
        <v>31</v>
      </c>
    </row>
    <row r="23" spans="1:18" x14ac:dyDescent="0.2">
      <c r="A23" s="5"/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3" t="s">
        <v>9</v>
      </c>
      <c r="J23" s="3" t="s">
        <v>10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15</v>
      </c>
      <c r="P23" s="3" t="s">
        <v>16</v>
      </c>
      <c r="Q23" s="3" t="s">
        <v>17</v>
      </c>
      <c r="R23" s="3" t="s">
        <v>18</v>
      </c>
    </row>
    <row r="24" spans="1:18" x14ac:dyDescent="0.2">
      <c r="A24" s="5" t="s">
        <v>25</v>
      </c>
      <c r="B24">
        <f>B16/B8</f>
        <v>1.4800058849492423</v>
      </c>
      <c r="C24">
        <f t="shared" ref="C24:R24" si="2">C16/C8</f>
        <v>1.4787519087268433</v>
      </c>
      <c r="D24">
        <f t="shared" si="2"/>
        <v>1.4831965442764579</v>
      </c>
      <c r="E24">
        <f t="shared" si="2"/>
        <v>1.4832730952725171</v>
      </c>
      <c r="F24">
        <f t="shared" si="2"/>
        <v>1.4683477143894335</v>
      </c>
      <c r="G24">
        <f t="shared" si="2"/>
        <v>1.4386259248054127</v>
      </c>
      <c r="H24">
        <f t="shared" si="2"/>
        <v>1.414054723021873</v>
      </c>
      <c r="I24">
        <f t="shared" si="2"/>
        <v>1.4042597402597403</v>
      </c>
      <c r="J24">
        <f t="shared" si="2"/>
        <v>1.4148619213339677</v>
      </c>
      <c r="K24">
        <f t="shared" si="2"/>
        <v>1.4228160279083288</v>
      </c>
      <c r="L24">
        <f t="shared" si="2"/>
        <v>1.42248892698957</v>
      </c>
      <c r="M24">
        <f t="shared" si="2"/>
        <v>1.4296748444653129</v>
      </c>
      <c r="N24">
        <f t="shared" si="2"/>
        <v>1.4458426028921023</v>
      </c>
      <c r="O24">
        <f t="shared" si="2"/>
        <v>1.4399609746335118</v>
      </c>
      <c r="P24">
        <f t="shared" si="2"/>
        <v>1.434856826869906</v>
      </c>
      <c r="Q24">
        <f>Q16/Q8</f>
        <v>1.4222896668548843</v>
      </c>
      <c r="R24">
        <f t="shared" si="2"/>
        <v>1.4261721805549166</v>
      </c>
    </row>
    <row r="25" spans="1:18" x14ac:dyDescent="0.2">
      <c r="A25" s="5" t="s">
        <v>22</v>
      </c>
      <c r="B25">
        <f>B17/B5</f>
        <v>11.761168384879726</v>
      </c>
      <c r="C25">
        <f>C17/C5</f>
        <v>11.5893470790378</v>
      </c>
      <c r="D25">
        <f t="shared" ref="C25:R25" si="3">D17/D5</f>
        <v>11.557264957264957</v>
      </c>
      <c r="E25">
        <f t="shared" si="3"/>
        <v>11.707191780821917</v>
      </c>
      <c r="F25">
        <f t="shared" si="3"/>
        <v>11.664921465968586</v>
      </c>
      <c r="G25">
        <f t="shared" si="3"/>
        <v>11.423280423280424</v>
      </c>
      <c r="H25">
        <f t="shared" si="3"/>
        <v>11.419753086419753</v>
      </c>
      <c r="I25">
        <f t="shared" si="3"/>
        <v>11.322413793103449</v>
      </c>
      <c r="J25">
        <f t="shared" si="3"/>
        <v>11.28500823723229</v>
      </c>
      <c r="K25">
        <f t="shared" si="3"/>
        <v>11.274322169059012</v>
      </c>
      <c r="L25">
        <f t="shared" si="3"/>
        <v>11.265432098765432</v>
      </c>
      <c r="M25">
        <f t="shared" si="3"/>
        <v>11.22429906542056</v>
      </c>
      <c r="N25">
        <f t="shared" si="3"/>
        <v>11.098412698412698</v>
      </c>
      <c r="O25">
        <f t="shared" si="3"/>
        <v>8.0194003527336868</v>
      </c>
      <c r="P25">
        <f t="shared" si="3"/>
        <v>7.7467948717948714</v>
      </c>
      <c r="Q25">
        <f t="shared" si="3"/>
        <v>11.946064139941692</v>
      </c>
      <c r="R25">
        <f t="shared" si="3"/>
        <v>11.100709219858157</v>
      </c>
    </row>
    <row r="26" spans="1:18" x14ac:dyDescent="0.2">
      <c r="A26" s="5" t="s">
        <v>28</v>
      </c>
      <c r="B26">
        <f>B18/B10</f>
        <v>101.74078759828964</v>
      </c>
      <c r="C26">
        <f t="shared" ref="C26:R26" si="4">C18/C10</f>
        <v>99.326573501664399</v>
      </c>
      <c r="D26">
        <f t="shared" si="4"/>
        <v>98.274371797246403</v>
      </c>
      <c r="E26">
        <f t="shared" si="4"/>
        <v>101.36707612163433</v>
      </c>
      <c r="F26">
        <f t="shared" si="4"/>
        <v>100.5524861878453</v>
      </c>
      <c r="G26">
        <f t="shared" si="4"/>
        <v>103.861741989753</v>
      </c>
      <c r="H26">
        <f t="shared" si="4"/>
        <v>101.94645387426355</v>
      </c>
      <c r="I26">
        <f t="shared" si="4"/>
        <v>101.91990400479976</v>
      </c>
      <c r="J26">
        <f t="shared" si="4"/>
        <v>103.43832140632361</v>
      </c>
      <c r="K26">
        <f t="shared" si="4"/>
        <v>103.12669718364498</v>
      </c>
      <c r="L26">
        <f t="shared" si="4"/>
        <v>105.16953863257365</v>
      </c>
      <c r="M26">
        <f t="shared" si="4"/>
        <v>106.27901691503523</v>
      </c>
      <c r="N26">
        <f t="shared" si="4"/>
        <v>106.48386267198148</v>
      </c>
      <c r="O26">
        <f t="shared" si="4"/>
        <v>69.74536885514172</v>
      </c>
      <c r="P26">
        <f t="shared" si="4"/>
        <v>73.833125131815891</v>
      </c>
      <c r="Q26">
        <f t="shared" si="4"/>
        <v>104.09116139354165</v>
      </c>
      <c r="R26">
        <f t="shared" si="4"/>
        <v>104.22244140716735</v>
      </c>
    </row>
    <row r="38" spans="3:21" x14ac:dyDescent="0.2"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VEJ23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 Tican</cp:lastModifiedBy>
  <dcterms:created xsi:type="dcterms:W3CDTF">2025-09-28T16:10:06Z</dcterms:created>
  <dcterms:modified xsi:type="dcterms:W3CDTF">2025-10-03T01:06:48Z</dcterms:modified>
</cp:coreProperties>
</file>