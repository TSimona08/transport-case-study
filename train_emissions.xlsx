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24226"/>
  <mc:AlternateContent xmlns:mc="http://schemas.openxmlformats.org/markup-compatibility/2006">
    <mc:Choice Requires="x15">
      <x15ac:absPath xmlns:x15ac="http://schemas.microsoft.com/office/spreadsheetml/2010/11/ac" url="/Users/SimonaTican/Desktop/DTU/Master's/Quatitative methods to assess sustainability/"/>
    </mc:Choice>
  </mc:AlternateContent>
  <xr:revisionPtr revIDLastSave="0" documentId="13_ncr:1_{49DECDFF-C1D8-0740-9D0F-7A7D38CF3049}" xr6:coauthVersionLast="47" xr6:coauthVersionMax="47" xr10:uidLastSave="{00000000-0000-0000-0000-000000000000}"/>
  <bookViews>
    <workbookView xWindow="4460" yWindow="3660" windowWidth="26840" windowHeight="15940" xr2:uid="{9D900E18-F4B6-B845-BF37-CBE8923087DB}"/>
  </bookViews>
  <sheets>
    <sheet name="Annex 3B-13-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5" i="1" l="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alcChain>
</file>

<file path=xl/sharedStrings.xml><?xml version="1.0" encoding="utf-8"?>
<sst xmlns="http://schemas.openxmlformats.org/spreadsheetml/2006/main" count="620" uniqueCount="40">
  <si>
    <t>Annex 13-1: Train Litrakm, tonnes trainkm, engine type, fuel consumption (PJ or kWh), SO2, NOx, NMVOC, CH4, VOC, CO, CO2, N2O, NH3, TSP, PM10, PM2.5 and BC total emissions (exhaust, kg) and TSP, PM10, PM2.5, Cr, Cu and Ni total emissions (non exhaust, kg)  for DSB, private railways, other railways and S-tog and Metro per litra type for the years 1985-2023.</t>
  </si>
  <si>
    <t>Railway group</t>
  </si>
  <si>
    <t>ForecastYear</t>
  </si>
  <si>
    <t>Litra</t>
  </si>
  <si>
    <t>Engine type</t>
  </si>
  <si>
    <t>Litra Km i alt (mio)</t>
  </si>
  <si>
    <t>CH4 (kg)</t>
  </si>
  <si>
    <t>CO2 (kg)</t>
  </si>
  <si>
    <t>N2O (kg)</t>
  </si>
  <si>
    <t>CO2e (g) per train km</t>
  </si>
  <si>
    <t>DSB &amp; Other railways</t>
  </si>
  <si>
    <t>Unknown</t>
  </si>
  <si>
    <t>El</t>
  </si>
  <si>
    <t>ICE</t>
  </si>
  <si>
    <t>Private railways</t>
  </si>
  <si>
    <t>DM (Desiro)</t>
  </si>
  <si>
    <t>IC2</t>
  </si>
  <si>
    <t>LM (Lint 41)</t>
  </si>
  <si>
    <t>M-tog</t>
  </si>
  <si>
    <t>Regio Sprinter</t>
  </si>
  <si>
    <t>Y-tog</t>
  </si>
  <si>
    <t>S-tog &amp; Metro</t>
  </si>
  <si>
    <t>Metro12</t>
  </si>
  <si>
    <t>Stog kWh</t>
  </si>
  <si>
    <t>Stadler Tango</t>
  </si>
  <si>
    <t>Stadler Variobahn</t>
  </si>
  <si>
    <t>DSB</t>
  </si>
  <si>
    <t>EA</t>
  </si>
  <si>
    <t>ERF</t>
  </si>
  <si>
    <t>ETS</t>
  </si>
  <si>
    <t>ICA</t>
  </si>
  <si>
    <t>ME</t>
  </si>
  <si>
    <t>MGA</t>
  </si>
  <si>
    <t>MQ</t>
  </si>
  <si>
    <t>MQS</t>
  </si>
  <si>
    <t>MR</t>
  </si>
  <si>
    <t>Other railways</t>
  </si>
  <si>
    <t>Metro34</t>
  </si>
  <si>
    <t>EB</t>
  </si>
  <si>
    <t>FC_(kWh)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</si>
</sst>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8"/>
      <color theme="1"/>
      <name val="Arial"/>
      <family val="2"/>
    </font>
    <font>
      <sz val="10"/>
      <color indexed="8"/>
      <name val="Arial"/>
      <family val="2"/>
    </font>
    <font>
      <sz val="11"/>
      <color indexed="8"/>
      <name val="Calibri"/>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12">
    <xf numFmtId="0" fontId="0" fillId="0" borderId="0" xfId="0"/>
    <xf numFmtId="1" fontId="1" fillId="0" borderId="0" xfId="0" applyNumberFormat="1" applyFont="1" applyAlignment="1">
      <alignment vertical="center"/>
    </xf>
    <xf numFmtId="1" fontId="0" fillId="0" borderId="0" xfId="0" applyNumberFormat="1"/>
    <xf numFmtId="1" fontId="3" fillId="2" borderId="0" xfId="1" applyNumberFormat="1" applyFont="1" applyFill="1" applyAlignment="1">
      <alignment horizontal="center"/>
    </xf>
    <xf numFmtId="1" fontId="3" fillId="0" borderId="1" xfId="1" applyNumberFormat="1" applyFont="1" applyBorder="1" applyAlignment="1">
      <alignment wrapText="1"/>
    </xf>
    <xf numFmtId="1" fontId="3" fillId="0" borderId="1" xfId="1" applyNumberFormat="1" applyFont="1" applyBorder="1" applyAlignment="1">
      <alignment horizontal="right" wrapText="1"/>
    </xf>
    <xf numFmtId="1" fontId="2" fillId="0" borderId="1" xfId="1" applyNumberFormat="1" applyBorder="1"/>
    <xf numFmtId="1" fontId="2" fillId="0" borderId="0" xfId="1" applyNumberFormat="1"/>
    <xf numFmtId="1" fontId="3" fillId="0" borderId="0" xfId="1" applyNumberFormat="1" applyFont="1" applyAlignment="1">
      <alignment horizontal="right" wrapText="1"/>
    </xf>
    <xf numFmtId="1" fontId="3" fillId="0" borderId="0" xfId="1" applyNumberFormat="1" applyFont="1" applyBorder="1" applyAlignment="1">
      <alignment horizontal="right" wrapText="1"/>
    </xf>
    <xf numFmtId="1" fontId="2" fillId="0" borderId="0" xfId="1" applyNumberFormat="1" applyBorder="1"/>
    <xf numFmtId="1" fontId="0" fillId="0" borderId="0" xfId="0" applyNumberFormat="1" applyBorder="1"/>
  </cellXfs>
  <cellStyles count="2">
    <cellStyle name="Normal" xfId="0" builtinId="0"/>
    <cellStyle name="Normal_Annex 3B-13-1_2" xfId="1" xr:uid="{F9D6F5D1-45AD-3B4B-A1BF-7F809249F9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15F59-4FB2-D148-B53A-EE5F3D72CC93}">
  <dimension ref="A1:J208"/>
  <sheetViews>
    <sheetView tabSelected="1" zoomScaleNormal="80" workbookViewId="0">
      <pane ySplit="2" topLeftCell="A160" activePane="bottomLeft" state="frozen"/>
      <selection pane="bottomLeft" activeCell="M9" sqref="M9"/>
    </sheetView>
  </sheetViews>
  <sheetFormatPr baseColWidth="10" defaultColWidth="8.83203125" defaultRowHeight="13.25" customHeight="1" x14ac:dyDescent="0.2"/>
  <cols>
    <col min="1" max="1" width="16.83203125" style="2" customWidth="1"/>
    <col min="2" max="2" width="9.1640625" style="2" bestFit="1" customWidth="1"/>
    <col min="3" max="3" width="8.83203125" style="2"/>
    <col min="4" max="4" width="11.1640625" style="2" bestFit="1" customWidth="1"/>
    <col min="5" max="5" width="17" style="2" bestFit="1" customWidth="1"/>
    <col min="6" max="6" width="9.1640625" style="2" bestFit="1" customWidth="1"/>
    <col min="7" max="7" width="10.83203125" style="2" bestFit="1" customWidth="1"/>
    <col min="8" max="8" width="9.1640625" style="2" bestFit="1" customWidth="1"/>
    <col min="9" max="9" width="17.83203125" style="2" bestFit="1" customWidth="1"/>
    <col min="10" max="10" width="11.5" style="2" bestFit="1" customWidth="1"/>
    <col min="11" max="16384" width="8.83203125" style="2"/>
  </cols>
  <sheetData>
    <row r="1" spans="1:10" ht="13.25" customHeight="1" x14ac:dyDescent="0.2">
      <c r="A1" s="1" t="s">
        <v>0</v>
      </c>
    </row>
    <row r="2" spans="1:10" ht="13.25" customHeight="1" x14ac:dyDescent="0.2">
      <c r="A2" s="3" t="s">
        <v>1</v>
      </c>
      <c r="B2" s="3" t="s">
        <v>2</v>
      </c>
      <c r="C2" s="3" t="s">
        <v>3</v>
      </c>
      <c r="D2" s="3" t="s">
        <v>4</v>
      </c>
      <c r="E2" s="3" t="s">
        <v>5</v>
      </c>
      <c r="F2" s="3" t="s">
        <v>6</v>
      </c>
      <c r="G2" s="3" t="s">
        <v>7</v>
      </c>
      <c r="H2" s="3" t="s">
        <v>8</v>
      </c>
      <c r="I2" s="2" t="s">
        <v>9</v>
      </c>
      <c r="J2" s="3" t="s">
        <v>39</v>
      </c>
    </row>
    <row r="3" spans="1:10" ht="13.25" customHeight="1" x14ac:dyDescent="0.2">
      <c r="A3" s="4" t="s">
        <v>10</v>
      </c>
      <c r="B3" s="5">
        <v>2007</v>
      </c>
      <c r="C3" s="4" t="s">
        <v>11</v>
      </c>
      <c r="D3" s="4" t="s">
        <v>12</v>
      </c>
      <c r="E3" s="5">
        <v>284.91036230932036</v>
      </c>
      <c r="F3" s="6"/>
      <c r="G3" s="6"/>
      <c r="H3" s="6"/>
      <c r="I3" s="2">
        <f>((F3+G3+H3)*1000)/(E3*10^6)</f>
        <v>0</v>
      </c>
      <c r="J3" s="5">
        <v>237152479.41142601</v>
      </c>
    </row>
    <row r="4" spans="1:10" ht="13.25" customHeight="1" x14ac:dyDescent="0.2">
      <c r="A4" s="4" t="s">
        <v>10</v>
      </c>
      <c r="B4" s="5">
        <v>2007</v>
      </c>
      <c r="C4" s="4" t="s">
        <v>11</v>
      </c>
      <c r="D4" s="4" t="s">
        <v>13</v>
      </c>
      <c r="E4" s="5">
        <v>204.80986057468581</v>
      </c>
      <c r="F4" s="5">
        <v>8148.6547621669388</v>
      </c>
      <c r="G4" s="5">
        <v>209638872.11749479</v>
      </c>
      <c r="H4" s="5">
        <v>6337.2614513250801</v>
      </c>
      <c r="I4" s="2">
        <f>((F4+G4+H4)*1000)/(E4*10^6)</f>
        <v>1023.6487513122264</v>
      </c>
      <c r="J4" s="5">
        <v>0</v>
      </c>
    </row>
    <row r="5" spans="1:10" ht="13.25" customHeight="1" x14ac:dyDescent="0.2">
      <c r="A5" s="4" t="s">
        <v>14</v>
      </c>
      <c r="B5" s="5">
        <v>2007</v>
      </c>
      <c r="C5" s="4" t="s">
        <v>15</v>
      </c>
      <c r="D5" s="4" t="s">
        <v>13</v>
      </c>
      <c r="E5" s="5">
        <v>1.1087460828295865</v>
      </c>
      <c r="F5" s="5">
        <v>56.200629621754061</v>
      </c>
      <c r="G5" s="5">
        <v>1227852.5764045133</v>
      </c>
      <c r="H5" s="5">
        <v>37.117270865669504</v>
      </c>
      <c r="I5" s="2">
        <f>((F5+G5+H5)*1000)/(E5*10^6)</f>
        <v>1107.5086652583334</v>
      </c>
      <c r="J5" s="5">
        <v>0</v>
      </c>
    </row>
    <row r="6" spans="1:10" ht="13.25" customHeight="1" x14ac:dyDescent="0.2">
      <c r="A6" s="4" t="s">
        <v>14</v>
      </c>
      <c r="B6" s="5">
        <v>2007</v>
      </c>
      <c r="C6" s="4" t="s">
        <v>16</v>
      </c>
      <c r="D6" s="4" t="s">
        <v>13</v>
      </c>
      <c r="E6" s="5">
        <v>2.7544015793084622</v>
      </c>
      <c r="F6" s="5">
        <v>62.390434547682389</v>
      </c>
      <c r="G6" s="5">
        <v>2928280.1200942881</v>
      </c>
      <c r="H6" s="5">
        <v>88.520208758585795</v>
      </c>
      <c r="I6" s="2">
        <f>((F6+G6+H6)*1000)/(E6*10^6)</f>
        <v>1063.1823089038546</v>
      </c>
      <c r="J6" s="5">
        <v>0</v>
      </c>
    </row>
    <row r="7" spans="1:10" ht="13.25" customHeight="1" x14ac:dyDescent="0.2">
      <c r="A7" s="4" t="s">
        <v>14</v>
      </c>
      <c r="B7" s="5">
        <v>2007</v>
      </c>
      <c r="C7" s="4" t="s">
        <v>17</v>
      </c>
      <c r="D7" s="4" t="s">
        <v>13</v>
      </c>
      <c r="E7" s="5">
        <v>7.3603887809444117</v>
      </c>
      <c r="F7" s="5">
        <v>57.623480076634578</v>
      </c>
      <c r="G7" s="5">
        <v>8151074.8655429734</v>
      </c>
      <c r="H7" s="5">
        <v>246.40226314191992</v>
      </c>
      <c r="I7" s="2">
        <f>((F7+G7+H7)*1000)/(E7*10^6)</f>
        <v>1107.4658056636363</v>
      </c>
      <c r="J7" s="5">
        <v>0</v>
      </c>
    </row>
    <row r="8" spans="1:10" ht="13.25" customHeight="1" x14ac:dyDescent="0.2">
      <c r="A8" s="4" t="s">
        <v>14</v>
      </c>
      <c r="B8" s="5">
        <v>2007</v>
      </c>
      <c r="C8" s="4" t="s">
        <v>18</v>
      </c>
      <c r="D8" s="4" t="s">
        <v>13</v>
      </c>
      <c r="E8" s="5">
        <v>0.41577978106109481</v>
      </c>
      <c r="F8" s="5">
        <v>7.0158232466929542</v>
      </c>
      <c r="G8" s="5">
        <v>368355.77292135393</v>
      </c>
      <c r="H8" s="5">
        <v>11.13518125970085</v>
      </c>
      <c r="I8" s="2">
        <f>((F8+G8+H8)*1000)/(E8*10^6)</f>
        <v>885.98325533230138</v>
      </c>
      <c r="J8" s="5">
        <v>0</v>
      </c>
    </row>
    <row r="9" spans="1:10" ht="13.25" customHeight="1" x14ac:dyDescent="0.2">
      <c r="A9" s="4" t="s">
        <v>14</v>
      </c>
      <c r="B9" s="5">
        <v>2007</v>
      </c>
      <c r="C9" s="4" t="s">
        <v>19</v>
      </c>
      <c r="D9" s="4" t="s">
        <v>13</v>
      </c>
      <c r="E9" s="5">
        <v>0.73081114158375826</v>
      </c>
      <c r="F9" s="5">
        <v>8.0820602246270781</v>
      </c>
      <c r="G9" s="5">
        <v>571283.40922081599</v>
      </c>
      <c r="H9" s="5">
        <v>17.269565946756114</v>
      </c>
      <c r="I9" s="2">
        <f>((F9+G9+H9)*1000)/(E9*10^6)</f>
        <v>781.74610147416536</v>
      </c>
      <c r="J9" s="5">
        <v>0</v>
      </c>
    </row>
    <row r="10" spans="1:10" ht="13.25" customHeight="1" x14ac:dyDescent="0.2">
      <c r="A10" s="4" t="s">
        <v>14</v>
      </c>
      <c r="B10" s="5">
        <v>2007</v>
      </c>
      <c r="C10" s="4" t="s">
        <v>20</v>
      </c>
      <c r="D10" s="4" t="s">
        <v>13</v>
      </c>
      <c r="E10" s="5">
        <v>5.6568325460576228</v>
      </c>
      <c r="F10" s="5">
        <v>95.452783148800336</v>
      </c>
      <c r="G10" s="5">
        <v>5011611.9631212726</v>
      </c>
      <c r="H10" s="5">
        <v>151.4981214222895</v>
      </c>
      <c r="I10" s="2">
        <f>((F10+G10+H10)*1000)/(E10*10^6)</f>
        <v>885.98325533230138</v>
      </c>
      <c r="J10" s="5">
        <v>0</v>
      </c>
    </row>
    <row r="11" spans="1:10" ht="13.25" customHeight="1" x14ac:dyDescent="0.2">
      <c r="A11" s="4" t="s">
        <v>21</v>
      </c>
      <c r="B11" s="5">
        <v>2007</v>
      </c>
      <c r="C11" s="4" t="s">
        <v>22</v>
      </c>
      <c r="D11" s="4" t="s">
        <v>12</v>
      </c>
      <c r="E11" s="5">
        <v>13.503</v>
      </c>
      <c r="F11" s="6"/>
      <c r="G11" s="6"/>
      <c r="H11" s="6"/>
      <c r="I11" s="2">
        <f>((F11+G11+H11)*1000)/(E11*10^6)</f>
        <v>0</v>
      </c>
      <c r="J11" s="5">
        <v>44008658.693909876</v>
      </c>
    </row>
    <row r="12" spans="1:10" ht="13.25" customHeight="1" x14ac:dyDescent="0.2">
      <c r="A12" s="4" t="s">
        <v>21</v>
      </c>
      <c r="B12" s="5">
        <v>2007</v>
      </c>
      <c r="C12" s="4" t="s">
        <v>23</v>
      </c>
      <c r="D12" s="4" t="s">
        <v>12</v>
      </c>
      <c r="E12" s="5">
        <v>48.991057196969699</v>
      </c>
      <c r="F12" s="6"/>
      <c r="G12" s="6"/>
      <c r="H12" s="6"/>
      <c r="I12" s="2">
        <f>((F12+G12+H12)*1000)/(E12*10^6)</f>
        <v>0</v>
      </c>
      <c r="J12" s="5">
        <v>312533903.07181329</v>
      </c>
    </row>
    <row r="13" spans="1:10" ht="13.25" customHeight="1" x14ac:dyDescent="0.2">
      <c r="A13" s="4" t="s">
        <v>10</v>
      </c>
      <c r="B13" s="5">
        <v>2008</v>
      </c>
      <c r="C13" s="4" t="s">
        <v>11</v>
      </c>
      <c r="D13" s="4" t="s">
        <v>12</v>
      </c>
      <c r="E13" s="5">
        <v>306.28721031571831</v>
      </c>
      <c r="F13" s="6"/>
      <c r="G13" s="6"/>
      <c r="H13" s="6"/>
      <c r="I13" s="2">
        <f>((F13+G13+H13)*1000)/(E13*10^6)</f>
        <v>0</v>
      </c>
      <c r="J13" s="5">
        <v>254946049.521083</v>
      </c>
    </row>
    <row r="14" spans="1:10" ht="13.25" customHeight="1" x14ac:dyDescent="0.2">
      <c r="A14" s="4" t="s">
        <v>10</v>
      </c>
      <c r="B14" s="5">
        <v>2008</v>
      </c>
      <c r="C14" s="4" t="s">
        <v>11</v>
      </c>
      <c r="D14" s="4" t="s">
        <v>13</v>
      </c>
      <c r="E14" s="5">
        <v>214.1807562063224</v>
      </c>
      <c r="F14" s="5">
        <v>7269.0738399246511</v>
      </c>
      <c r="G14" s="5">
        <v>219230714.93909898</v>
      </c>
      <c r="H14" s="5">
        <v>6627.2172937055575</v>
      </c>
      <c r="I14" s="2">
        <f>((F14+G14+H14)*1000)/(E14*10^6)</f>
        <v>1023.6429038425478</v>
      </c>
      <c r="J14" s="5">
        <v>0</v>
      </c>
    </row>
    <row r="15" spans="1:10" ht="13.25" customHeight="1" x14ac:dyDescent="0.2">
      <c r="A15" s="4" t="s">
        <v>14</v>
      </c>
      <c r="B15" s="5">
        <v>2008</v>
      </c>
      <c r="C15" s="4" t="s">
        <v>15</v>
      </c>
      <c r="D15" s="4" t="s">
        <v>13</v>
      </c>
      <c r="E15" s="5">
        <v>1.079869836753139</v>
      </c>
      <c r="F15" s="5">
        <v>54.736937225684969</v>
      </c>
      <c r="G15" s="5">
        <v>1195874.3140314266</v>
      </c>
      <c r="H15" s="5">
        <v>36.15058655101749</v>
      </c>
      <c r="I15" s="2">
        <f>((F15+G15+H15)*1000)/(E15*10^6)</f>
        <v>1107.5086652583334</v>
      </c>
      <c r="J15" s="5">
        <v>0</v>
      </c>
    </row>
    <row r="16" spans="1:10" ht="13.25" customHeight="1" x14ac:dyDescent="0.2">
      <c r="A16" s="4" t="s">
        <v>14</v>
      </c>
      <c r="B16" s="5">
        <v>2008</v>
      </c>
      <c r="C16" s="4" t="s">
        <v>16</v>
      </c>
      <c r="D16" s="4" t="s">
        <v>13</v>
      </c>
      <c r="E16" s="5">
        <v>2.6826657878326681</v>
      </c>
      <c r="F16" s="5">
        <v>60.765534519880191</v>
      </c>
      <c r="G16" s="5">
        <v>2852015.8260073899</v>
      </c>
      <c r="H16" s="5">
        <v>86.214783404271998</v>
      </c>
      <c r="I16" s="2">
        <f>((F16+G16+H16)*1000)/(E16*10^6)</f>
        <v>1063.1823089038546</v>
      </c>
      <c r="J16" s="5">
        <v>0</v>
      </c>
    </row>
    <row r="17" spans="1:10" ht="13.25" customHeight="1" x14ac:dyDescent="0.2">
      <c r="A17" s="4" t="s">
        <v>14</v>
      </c>
      <c r="B17" s="5">
        <v>2008</v>
      </c>
      <c r="C17" s="4" t="s">
        <v>17</v>
      </c>
      <c r="D17" s="4" t="s">
        <v>13</v>
      </c>
      <c r="E17" s="5">
        <v>7.1686943966770427</v>
      </c>
      <c r="F17" s="5">
        <v>56.122730882348655</v>
      </c>
      <c r="G17" s="5">
        <v>7938787.8078928757</v>
      </c>
      <c r="H17" s="5">
        <v>239.98494857867809</v>
      </c>
      <c r="I17" s="2">
        <f>((F17+G17+H17)*1000)/(E17*10^6)</f>
        <v>1107.4658056636363</v>
      </c>
      <c r="J17" s="5">
        <v>0</v>
      </c>
    </row>
    <row r="18" spans="1:10" ht="13.25" customHeight="1" x14ac:dyDescent="0.2">
      <c r="A18" s="4" t="s">
        <v>14</v>
      </c>
      <c r="B18" s="5">
        <v>2008</v>
      </c>
      <c r="C18" s="4" t="s">
        <v>18</v>
      </c>
      <c r="D18" s="4" t="s">
        <v>13</v>
      </c>
      <c r="E18" s="5">
        <v>0.40495118878242697</v>
      </c>
      <c r="F18" s="5">
        <v>6.833102746807767</v>
      </c>
      <c r="G18" s="5">
        <v>358762.2942094279</v>
      </c>
      <c r="H18" s="5">
        <v>10.845175965305245</v>
      </c>
      <c r="I18" s="2">
        <f>((F18+G18+H18)*1000)/(E18*10^6)</f>
        <v>885.98325533230138</v>
      </c>
      <c r="J18" s="5">
        <v>0</v>
      </c>
    </row>
    <row r="19" spans="1:10" ht="13.25" customHeight="1" x14ac:dyDescent="0.2">
      <c r="A19" s="4" t="s">
        <v>14</v>
      </c>
      <c r="B19" s="5">
        <v>2008</v>
      </c>
      <c r="C19" s="4" t="s">
        <v>19</v>
      </c>
      <c r="D19" s="4" t="s">
        <v>13</v>
      </c>
      <c r="E19" s="5">
        <v>0.71177785462419951</v>
      </c>
      <c r="F19" s="5">
        <v>7.8715705882123981</v>
      </c>
      <c r="G19" s="5">
        <v>556404.87160113663</v>
      </c>
      <c r="H19" s="5">
        <v>16.819796388482406</v>
      </c>
      <c r="I19" s="2">
        <f>((F19+G19+H19)*1000)/(E19*10^6)</f>
        <v>781.74610147416547</v>
      </c>
      <c r="J19" s="5">
        <v>0</v>
      </c>
    </row>
    <row r="20" spans="1:10" ht="13.25" customHeight="1" x14ac:dyDescent="0.2">
      <c r="A20" s="4" t="s">
        <v>14</v>
      </c>
      <c r="B20" s="5">
        <v>2008</v>
      </c>
      <c r="C20" s="4" t="s">
        <v>20</v>
      </c>
      <c r="D20" s="4" t="s">
        <v>13</v>
      </c>
      <c r="E20" s="5">
        <v>5.5095056773156461</v>
      </c>
      <c r="F20" s="5">
        <v>92.966805432556896</v>
      </c>
      <c r="G20" s="5">
        <v>4881089.2559587518</v>
      </c>
      <c r="H20" s="5">
        <v>147.55249572668833</v>
      </c>
      <c r="I20" s="2">
        <f>((F20+G20+H20)*1000)/(E20*10^6)</f>
        <v>885.98325533230127</v>
      </c>
      <c r="J20" s="5">
        <v>0</v>
      </c>
    </row>
    <row r="21" spans="1:10" ht="13.25" customHeight="1" x14ac:dyDescent="0.2">
      <c r="A21" s="4" t="s">
        <v>21</v>
      </c>
      <c r="B21" s="5">
        <v>2008</v>
      </c>
      <c r="C21" s="4" t="s">
        <v>22</v>
      </c>
      <c r="D21" s="4" t="s">
        <v>12</v>
      </c>
      <c r="E21" s="5">
        <v>15.108000000000001</v>
      </c>
      <c r="F21" s="6"/>
      <c r="G21" s="6"/>
      <c r="H21" s="6"/>
      <c r="I21" s="2">
        <f>((F21+G21+H21)*1000)/(E21*10^6)</f>
        <v>0</v>
      </c>
      <c r="J21" s="5">
        <v>49239636.787942715</v>
      </c>
    </row>
    <row r="22" spans="1:10" ht="13.25" customHeight="1" x14ac:dyDescent="0.2">
      <c r="A22" s="4" t="s">
        <v>21</v>
      </c>
      <c r="B22" s="5">
        <v>2008</v>
      </c>
      <c r="C22" s="4" t="s">
        <v>23</v>
      </c>
      <c r="D22" s="4" t="s">
        <v>12</v>
      </c>
      <c r="E22" s="5">
        <v>50.102181060606064</v>
      </c>
      <c r="F22" s="6"/>
      <c r="G22" s="6"/>
      <c r="H22" s="6"/>
      <c r="I22" s="2">
        <f>((F22+G22+H22)*1000)/(E22*10^6)</f>
        <v>0</v>
      </c>
      <c r="J22" s="5">
        <v>319622214.64880836</v>
      </c>
    </row>
    <row r="23" spans="1:10" ht="13.25" customHeight="1" x14ac:dyDescent="0.2">
      <c r="A23" s="4" t="s">
        <v>10</v>
      </c>
      <c r="B23" s="5">
        <v>2009</v>
      </c>
      <c r="C23" s="4" t="s">
        <v>11</v>
      </c>
      <c r="D23" s="4" t="s">
        <v>12</v>
      </c>
      <c r="E23" s="5">
        <v>325.17191339002238</v>
      </c>
      <c r="F23" s="6"/>
      <c r="G23" s="6"/>
      <c r="H23" s="6"/>
      <c r="I23" s="2">
        <f>((F23+G23+H23)*1000)/(E23*10^6)</f>
        <v>0</v>
      </c>
      <c r="J23" s="5">
        <v>270665218.5984</v>
      </c>
    </row>
    <row r="24" spans="1:10" ht="13.25" customHeight="1" x14ac:dyDescent="0.2">
      <c r="A24" s="4" t="s">
        <v>10</v>
      </c>
      <c r="B24" s="5">
        <v>2009</v>
      </c>
      <c r="C24" s="4" t="s">
        <v>11</v>
      </c>
      <c r="D24" s="4" t="s">
        <v>13</v>
      </c>
      <c r="E24" s="5">
        <v>207.25157853276428</v>
      </c>
      <c r="F24" s="5">
        <v>6147.7838080518422</v>
      </c>
      <c r="G24" s="5">
        <v>212138160.9570277</v>
      </c>
      <c r="H24" s="5">
        <v>6412.8135026146047</v>
      </c>
      <c r="I24" s="2">
        <f>((F24+G24+H24)*1000)/(E24*10^6)</f>
        <v>1023.63862826164</v>
      </c>
      <c r="J24" s="5">
        <v>0</v>
      </c>
    </row>
    <row r="25" spans="1:10" ht="13.25" customHeight="1" x14ac:dyDescent="0.2">
      <c r="A25" s="4" t="s">
        <v>14</v>
      </c>
      <c r="B25" s="5">
        <v>2009</v>
      </c>
      <c r="C25" s="4" t="s">
        <v>15</v>
      </c>
      <c r="D25" s="4" t="s">
        <v>13</v>
      </c>
      <c r="E25" s="5">
        <v>1.5086089463121992</v>
      </c>
      <c r="F25" s="5">
        <v>76.469061716439825</v>
      </c>
      <c r="G25" s="5">
        <v>1670670.508065314</v>
      </c>
      <c r="H25" s="5">
        <v>50.503399973904237</v>
      </c>
      <c r="I25" s="2">
        <f>((F25+G25+H25)*1000)/(E25*10^6)</f>
        <v>1107.5086652583334</v>
      </c>
      <c r="J25" s="5">
        <v>0</v>
      </c>
    </row>
    <row r="26" spans="1:10" ht="13.25" customHeight="1" x14ac:dyDescent="0.2">
      <c r="A26" s="4" t="s">
        <v>14</v>
      </c>
      <c r="B26" s="5">
        <v>2009</v>
      </c>
      <c r="C26" s="4" t="s">
        <v>16</v>
      </c>
      <c r="D26" s="4" t="s">
        <v>13</v>
      </c>
      <c r="E26" s="5">
        <v>2.7256440593776365</v>
      </c>
      <c r="F26" s="5">
        <v>61.739042906581069</v>
      </c>
      <c r="G26" s="5">
        <v>2897707.2092488799</v>
      </c>
      <c r="H26" s="5">
        <v>87.596007405094383</v>
      </c>
      <c r="I26" s="2">
        <f>((F26+G26+H26)*1000)/(E26*10^6)</f>
        <v>1063.1823089038551</v>
      </c>
      <c r="J26" s="5">
        <v>0</v>
      </c>
    </row>
    <row r="27" spans="1:10" ht="13.25" customHeight="1" x14ac:dyDescent="0.2">
      <c r="A27" s="4" t="s">
        <v>14</v>
      </c>
      <c r="B27" s="5">
        <v>2009</v>
      </c>
      <c r="C27" s="4" t="s">
        <v>17</v>
      </c>
      <c r="D27" s="4" t="s">
        <v>13</v>
      </c>
      <c r="E27" s="5">
        <v>8.2565478626771913</v>
      </c>
      <c r="F27" s="5">
        <v>64.639387324009363</v>
      </c>
      <c r="G27" s="5">
        <v>9143503.3885513581</v>
      </c>
      <c r="H27" s="5">
        <v>276.40280148927184</v>
      </c>
      <c r="I27" s="2">
        <f>((F27+G27+H27)*1000)/(E27*10^6)</f>
        <v>1107.4658056636365</v>
      </c>
      <c r="J27" s="5">
        <v>0</v>
      </c>
    </row>
    <row r="28" spans="1:10" ht="13.25" customHeight="1" x14ac:dyDescent="0.2">
      <c r="A28" s="4" t="s">
        <v>14</v>
      </c>
      <c r="B28" s="5">
        <v>2009</v>
      </c>
      <c r="C28" s="4" t="s">
        <v>19</v>
      </c>
      <c r="D28" s="4" t="s">
        <v>13</v>
      </c>
      <c r="E28" s="5">
        <v>0.72318105738411131</v>
      </c>
      <c r="F28" s="5">
        <v>7.9976789166370521</v>
      </c>
      <c r="G28" s="5">
        <v>565318.88532922638</v>
      </c>
      <c r="H28" s="5">
        <v>17.089261850708059</v>
      </c>
      <c r="I28" s="2">
        <f>((F28+G28+H28)*1000)/(E28*10^6)</f>
        <v>781.74610147416547</v>
      </c>
      <c r="J28" s="5">
        <v>0</v>
      </c>
    </row>
    <row r="29" spans="1:10" ht="13.25" customHeight="1" x14ac:dyDescent="0.2">
      <c r="A29" s="4" t="s">
        <v>14</v>
      </c>
      <c r="B29" s="5">
        <v>2009</v>
      </c>
      <c r="C29" s="4" t="s">
        <v>20</v>
      </c>
      <c r="D29" s="4" t="s">
        <v>13</v>
      </c>
      <c r="E29" s="5">
        <v>4.6247662659818891</v>
      </c>
      <c r="F29" s="5">
        <v>78.037807890974392</v>
      </c>
      <c r="G29" s="5">
        <v>4097263.5757774878</v>
      </c>
      <c r="H29" s="5">
        <v>123.85790026641801</v>
      </c>
      <c r="I29" s="2">
        <f>((F29+G29+H29)*1000)/(E29*10^6)</f>
        <v>885.98325533230116</v>
      </c>
      <c r="J29" s="5">
        <v>0</v>
      </c>
    </row>
    <row r="30" spans="1:10" ht="13.25" customHeight="1" x14ac:dyDescent="0.2">
      <c r="A30" s="4" t="s">
        <v>21</v>
      </c>
      <c r="B30" s="5">
        <v>2009</v>
      </c>
      <c r="C30" s="4" t="s">
        <v>22</v>
      </c>
      <c r="D30" s="4" t="s">
        <v>12</v>
      </c>
      <c r="E30" s="5">
        <v>15.192144000000001</v>
      </c>
      <c r="F30" s="6"/>
      <c r="G30" s="6"/>
      <c r="H30" s="6"/>
      <c r="I30" s="2">
        <f>((F30+G30+H30)*1000)/(E30*10^6)</f>
        <v>0</v>
      </c>
      <c r="J30" s="5">
        <v>49513876.925478101</v>
      </c>
    </row>
    <row r="31" spans="1:10" ht="13.25" customHeight="1" x14ac:dyDescent="0.2">
      <c r="A31" s="4" t="s">
        <v>21</v>
      </c>
      <c r="B31" s="5">
        <v>2009</v>
      </c>
      <c r="C31" s="4" t="s">
        <v>23</v>
      </c>
      <c r="D31" s="4" t="s">
        <v>12</v>
      </c>
      <c r="E31" s="5">
        <v>50.708546590909094</v>
      </c>
      <c r="F31" s="6"/>
      <c r="G31" s="6"/>
      <c r="H31" s="6"/>
      <c r="I31" s="2">
        <f>((F31+G31+H31)*1000)/(E31*10^6)</f>
        <v>0</v>
      </c>
      <c r="J31" s="5">
        <v>323490467.27932185</v>
      </c>
    </row>
    <row r="32" spans="1:10" ht="13.25" customHeight="1" x14ac:dyDescent="0.2">
      <c r="A32" s="4" t="s">
        <v>10</v>
      </c>
      <c r="B32" s="5">
        <v>2010</v>
      </c>
      <c r="C32" s="4" t="s">
        <v>11</v>
      </c>
      <c r="D32" s="4" t="s">
        <v>12</v>
      </c>
      <c r="E32" s="5">
        <v>344.91190909097668</v>
      </c>
      <c r="F32" s="6"/>
      <c r="G32" s="6"/>
      <c r="H32" s="6"/>
      <c r="I32" s="2">
        <f>((F32+G32+H32)*1000)/(E32*10^6)</f>
        <v>0</v>
      </c>
      <c r="J32" s="5">
        <v>287096312.526003</v>
      </c>
    </row>
    <row r="33" spans="1:10" ht="13.25" customHeight="1" x14ac:dyDescent="0.2">
      <c r="A33" s="4" t="s">
        <v>10</v>
      </c>
      <c r="B33" s="5">
        <v>2010</v>
      </c>
      <c r="C33" s="4" t="s">
        <v>11</v>
      </c>
      <c r="D33" s="4" t="s">
        <v>13</v>
      </c>
      <c r="E33" s="5">
        <v>218.14224093392974</v>
      </c>
      <c r="F33" s="5">
        <v>6689.5282063252434</v>
      </c>
      <c r="G33" s="5">
        <v>223285603.6435588</v>
      </c>
      <c r="H33" s="5">
        <v>6749.7942262020488</v>
      </c>
      <c r="I33" s="2">
        <f>((F33+G33+H33)*1000)/(E33*10^6)</f>
        <v>1023.6396307747818</v>
      </c>
      <c r="J33" s="5">
        <v>0</v>
      </c>
    </row>
    <row r="34" spans="1:10" ht="13.25" customHeight="1" x14ac:dyDescent="0.2">
      <c r="A34" s="4" t="s">
        <v>14</v>
      </c>
      <c r="B34" s="5">
        <v>2010</v>
      </c>
      <c r="C34" s="4" t="s">
        <v>15</v>
      </c>
      <c r="D34" s="4" t="s">
        <v>13</v>
      </c>
      <c r="E34" s="5">
        <v>1.5786111999999999</v>
      </c>
      <c r="F34" s="5">
        <v>80.017368035733369</v>
      </c>
      <c r="G34" s="5">
        <v>1748192.7188544001</v>
      </c>
      <c r="H34" s="5">
        <v>52.846851420160007</v>
      </c>
      <c r="I34" s="2">
        <f>((F34+G34+H34)*1000)/(E34*10^6)</f>
        <v>1107.5086652583334</v>
      </c>
      <c r="J34" s="5">
        <v>0</v>
      </c>
    </row>
    <row r="35" spans="1:10" ht="13.25" customHeight="1" x14ac:dyDescent="0.2">
      <c r="A35" s="4" t="s">
        <v>14</v>
      </c>
      <c r="B35" s="5">
        <v>2010</v>
      </c>
      <c r="C35" s="4" t="s">
        <v>16</v>
      </c>
      <c r="D35" s="4" t="s">
        <v>13</v>
      </c>
      <c r="E35" s="5">
        <v>2.8521190000000001</v>
      </c>
      <c r="F35" s="5">
        <v>64.603849027844859</v>
      </c>
      <c r="G35" s="5">
        <v>3032166.1992148804</v>
      </c>
      <c r="H35" s="5">
        <v>91.660624645632026</v>
      </c>
      <c r="I35" s="2">
        <f>((F35+G35+H35)*1000)/(E35*10^6)</f>
        <v>1063.1823089038548</v>
      </c>
      <c r="J35" s="5">
        <v>0</v>
      </c>
    </row>
    <row r="36" spans="1:10" ht="13.25" customHeight="1" x14ac:dyDescent="0.2">
      <c r="A36" s="4" t="s">
        <v>14</v>
      </c>
      <c r="B36" s="5">
        <v>2010</v>
      </c>
      <c r="C36" s="4" t="s">
        <v>17</v>
      </c>
      <c r="D36" s="4" t="s">
        <v>13</v>
      </c>
      <c r="E36" s="5">
        <v>8.6396669999999993</v>
      </c>
      <c r="F36" s="5">
        <v>67.638774806590902</v>
      </c>
      <c r="G36" s="5">
        <v>9567778.9076415002</v>
      </c>
      <c r="H36" s="5">
        <v>289.22840422560006</v>
      </c>
      <c r="I36" s="2">
        <f>((F36+G36+H36)*1000)/(E36*10^6)</f>
        <v>1107.4658056636363</v>
      </c>
      <c r="J36" s="5">
        <v>0</v>
      </c>
    </row>
    <row r="37" spans="1:10" ht="13.25" customHeight="1" x14ac:dyDescent="0.2">
      <c r="A37" s="4" t="s">
        <v>14</v>
      </c>
      <c r="B37" s="5">
        <v>2010</v>
      </c>
      <c r="C37" s="4" t="s">
        <v>19</v>
      </c>
      <c r="D37" s="4" t="s">
        <v>13</v>
      </c>
      <c r="E37" s="5">
        <v>0.75673800000000002</v>
      </c>
      <c r="F37" s="5">
        <v>8.3687860546429444</v>
      </c>
      <c r="G37" s="5">
        <v>591550.73031599994</v>
      </c>
      <c r="H37" s="5">
        <v>17.882235302400005</v>
      </c>
      <c r="I37" s="2">
        <f>((F37+G37+H37)*1000)/(E37*10^6)</f>
        <v>781.74610147416536</v>
      </c>
      <c r="J37" s="5">
        <v>0</v>
      </c>
    </row>
    <row r="38" spans="1:10" ht="13.25" customHeight="1" x14ac:dyDescent="0.2">
      <c r="A38" s="4" t="s">
        <v>14</v>
      </c>
      <c r="B38" s="5">
        <v>2010</v>
      </c>
      <c r="C38" s="4" t="s">
        <v>20</v>
      </c>
      <c r="D38" s="4" t="s">
        <v>13</v>
      </c>
      <c r="E38" s="5">
        <v>4.8393639999999998</v>
      </c>
      <c r="F38" s="5">
        <v>81.658906942904139</v>
      </c>
      <c r="G38" s="5">
        <v>4287384.2064143997</v>
      </c>
      <c r="H38" s="5">
        <v>129.60513660416001</v>
      </c>
      <c r="I38" s="2">
        <f>((F38+G38+H38)*1000)/(E38*10^6)</f>
        <v>885.98325533230127</v>
      </c>
      <c r="J38" s="5">
        <v>0</v>
      </c>
    </row>
    <row r="39" spans="1:10" ht="13.25" customHeight="1" x14ac:dyDescent="0.2">
      <c r="A39" s="4" t="s">
        <v>21</v>
      </c>
      <c r="B39" s="5">
        <v>2010</v>
      </c>
      <c r="C39" s="4" t="s">
        <v>22</v>
      </c>
      <c r="D39" s="4" t="s">
        <v>12</v>
      </c>
      <c r="E39" s="5">
        <v>14.464067999999999</v>
      </c>
      <c r="F39" s="7"/>
      <c r="G39" s="7"/>
      <c r="H39" s="7"/>
      <c r="I39" s="2">
        <f>((F39+G39+H39)*1000)/(E39*10^6)</f>
        <v>0</v>
      </c>
      <c r="J39" s="5">
        <v>47140948.821558446</v>
      </c>
    </row>
    <row r="40" spans="1:10" ht="13.25" customHeight="1" x14ac:dyDescent="0.2">
      <c r="A40" s="4" t="s">
        <v>21</v>
      </c>
      <c r="B40" s="5">
        <v>2010</v>
      </c>
      <c r="C40" s="4" t="s">
        <v>23</v>
      </c>
      <c r="D40" s="4" t="s">
        <v>12</v>
      </c>
      <c r="E40" s="5">
        <v>47.679996590909091</v>
      </c>
      <c r="F40" s="6"/>
      <c r="G40" s="6"/>
      <c r="H40" s="6"/>
      <c r="I40" s="2">
        <f>((F40+G40+H40)*1000)/(E40*10^6)</f>
        <v>0</v>
      </c>
      <c r="J40" s="5">
        <v>304170113.60043281</v>
      </c>
    </row>
    <row r="41" spans="1:10" ht="13.25" customHeight="1" x14ac:dyDescent="0.2">
      <c r="A41" s="4" t="s">
        <v>10</v>
      </c>
      <c r="B41" s="5">
        <v>2011</v>
      </c>
      <c r="C41" s="4" t="s">
        <v>11</v>
      </c>
      <c r="D41" s="4" t="s">
        <v>12</v>
      </c>
      <c r="E41" s="5">
        <v>331.35357576636034</v>
      </c>
      <c r="F41" s="7"/>
      <c r="G41" s="7"/>
      <c r="H41" s="7"/>
      <c r="I41" s="2">
        <f>((F41+G41+H41)*1000)/(E41*10^6)</f>
        <v>0</v>
      </c>
      <c r="J41" s="5">
        <v>275810684.518103</v>
      </c>
    </row>
    <row r="42" spans="1:10" ht="13.25" customHeight="1" x14ac:dyDescent="0.2">
      <c r="A42" s="4" t="s">
        <v>10</v>
      </c>
      <c r="B42" s="5">
        <v>2011</v>
      </c>
      <c r="C42" s="4" t="s">
        <v>11</v>
      </c>
      <c r="D42" s="4" t="s">
        <v>13</v>
      </c>
      <c r="E42" s="5">
        <v>223.8971391295417</v>
      </c>
      <c r="F42" s="5">
        <v>6179.4066064380995</v>
      </c>
      <c r="G42" s="5">
        <v>229176190.95949104</v>
      </c>
      <c r="H42" s="5">
        <v>6927.8632624731445</v>
      </c>
      <c r="I42" s="2">
        <f>((F42+G42+H42)*1000)/(E42*10^6)</f>
        <v>1023.6365641847542</v>
      </c>
      <c r="J42" s="5">
        <v>0</v>
      </c>
    </row>
    <row r="43" spans="1:10" ht="13.25" customHeight="1" x14ac:dyDescent="0.2">
      <c r="A43" s="4" t="s">
        <v>14</v>
      </c>
      <c r="B43" s="5">
        <v>2011</v>
      </c>
      <c r="C43" s="4" t="s">
        <v>15</v>
      </c>
      <c r="D43" s="4" t="s">
        <v>13</v>
      </c>
      <c r="E43" s="5">
        <v>1.558378</v>
      </c>
      <c r="F43" s="8">
        <v>78.991778320583364</v>
      </c>
      <c r="G43" s="8">
        <v>1725785.977461</v>
      </c>
      <c r="H43" s="8">
        <v>52.169508630400003</v>
      </c>
      <c r="I43" s="2">
        <f>((F43+G43+H43)*1000)/(E43*10^6)</f>
        <v>1107.5086652583334</v>
      </c>
      <c r="J43" s="5">
        <v>0</v>
      </c>
    </row>
    <row r="44" spans="1:10" ht="13.25" customHeight="1" x14ac:dyDescent="0.2">
      <c r="A44" s="4" t="s">
        <v>14</v>
      </c>
      <c r="B44" s="5">
        <v>2011</v>
      </c>
      <c r="C44" s="4" t="s">
        <v>16</v>
      </c>
      <c r="D44" s="4" t="s">
        <v>13</v>
      </c>
      <c r="E44" s="5">
        <v>3.0913062500000001</v>
      </c>
      <c r="F44" s="5">
        <v>70.021721489823278</v>
      </c>
      <c r="G44" s="5">
        <v>3286452.7471230002</v>
      </c>
      <c r="H44" s="5">
        <v>99.347559427200025</v>
      </c>
      <c r="I44" s="2">
        <f>((F44+G44+H44)*1000)/(E44*10^6)</f>
        <v>1063.1823089038548</v>
      </c>
      <c r="J44" s="5">
        <v>0</v>
      </c>
    </row>
    <row r="45" spans="1:10" ht="13.25" customHeight="1" x14ac:dyDescent="0.2">
      <c r="A45" s="4" t="s">
        <v>14</v>
      </c>
      <c r="B45" s="5">
        <v>2011</v>
      </c>
      <c r="C45" s="4" t="s">
        <v>17</v>
      </c>
      <c r="D45" s="4" t="s">
        <v>13</v>
      </c>
      <c r="E45" s="5">
        <v>11.387327750000001</v>
      </c>
      <c r="F45" s="8">
        <v>89.14983613732953</v>
      </c>
      <c r="G45" s="8">
        <v>12610605.739879875</v>
      </c>
      <c r="H45" s="8">
        <v>381.21129362120007</v>
      </c>
      <c r="I45" s="2">
        <f>((F45+G45+H45)*1000)/(E45*10^6)</f>
        <v>1107.4658056636365</v>
      </c>
      <c r="J45" s="5">
        <v>0</v>
      </c>
    </row>
    <row r="46" spans="1:10" ht="13.25" customHeight="1" x14ac:dyDescent="0.2">
      <c r="A46" s="4" t="s">
        <v>14</v>
      </c>
      <c r="B46" s="5">
        <v>2011</v>
      </c>
      <c r="C46" s="4" t="s">
        <v>19</v>
      </c>
      <c r="D46" s="4" t="s">
        <v>13</v>
      </c>
      <c r="E46" s="5">
        <v>0.75536800000000004</v>
      </c>
      <c r="F46" s="5">
        <v>8.3536351875068142</v>
      </c>
      <c r="G46" s="5">
        <v>590479.78568188241</v>
      </c>
      <c r="H46" s="5">
        <v>17.849861267576475</v>
      </c>
      <c r="I46" s="2">
        <f>((F46+G46+H46)*1000)/(E46*10^6)</f>
        <v>781.74610147416547</v>
      </c>
      <c r="J46" s="5">
        <v>0</v>
      </c>
    </row>
    <row r="47" spans="1:10" ht="13.25" customHeight="1" x14ac:dyDescent="0.2">
      <c r="A47" s="4" t="s">
        <v>14</v>
      </c>
      <c r="B47" s="5">
        <v>2011</v>
      </c>
      <c r="C47" s="4" t="s">
        <v>20</v>
      </c>
      <c r="D47" s="4" t="s">
        <v>13</v>
      </c>
      <c r="E47" s="5">
        <v>2.6282920000000001</v>
      </c>
      <c r="F47" s="8">
        <v>44.349516144431249</v>
      </c>
      <c r="G47" s="8">
        <v>2328507.9631631998</v>
      </c>
      <c r="H47" s="8">
        <v>70.38944450048001</v>
      </c>
      <c r="I47" s="2">
        <f>((F47+G47+H47)*1000)/(E47*10^6)</f>
        <v>885.98325533230138</v>
      </c>
      <c r="J47" s="5">
        <v>0</v>
      </c>
    </row>
    <row r="48" spans="1:10" ht="13.25" customHeight="1" x14ac:dyDescent="0.2">
      <c r="A48" s="4" t="s">
        <v>21</v>
      </c>
      <c r="B48" s="5">
        <v>2011</v>
      </c>
      <c r="C48" s="4" t="s">
        <v>22</v>
      </c>
      <c r="D48" s="4" t="s">
        <v>12</v>
      </c>
      <c r="E48" s="5">
        <v>14.071695</v>
      </c>
      <c r="F48" s="6"/>
      <c r="G48" s="6"/>
      <c r="H48" s="6"/>
      <c r="I48" s="2">
        <f>((F48+G48+H48)*1000)/(E48*10^6)</f>
        <v>0</v>
      </c>
      <c r="J48" s="5">
        <v>45862136.006798357</v>
      </c>
    </row>
    <row r="49" spans="1:10" ht="13.25" customHeight="1" x14ac:dyDescent="0.2">
      <c r="A49" s="4" t="s">
        <v>21</v>
      </c>
      <c r="B49" s="5">
        <v>2011</v>
      </c>
      <c r="C49" s="4" t="s">
        <v>23</v>
      </c>
      <c r="D49" s="4" t="s">
        <v>12</v>
      </c>
      <c r="E49" s="5">
        <v>49.754750000000001</v>
      </c>
      <c r="F49" s="7"/>
      <c r="G49" s="7"/>
      <c r="H49" s="7"/>
      <c r="I49" s="2">
        <f>((F49+G49+H49)*1000)/(E49*10^6)</f>
        <v>0</v>
      </c>
      <c r="J49" s="5">
        <v>317405810.43889248</v>
      </c>
    </row>
    <row r="50" spans="1:10" ht="13.25" customHeight="1" x14ac:dyDescent="0.2">
      <c r="A50" s="4" t="s">
        <v>10</v>
      </c>
      <c r="B50" s="5">
        <v>2012</v>
      </c>
      <c r="C50" s="4" t="s">
        <v>11</v>
      </c>
      <c r="D50" s="4" t="s">
        <v>12</v>
      </c>
      <c r="E50" s="5">
        <v>314.64053747100036</v>
      </c>
      <c r="F50" s="6"/>
      <c r="G50" s="6"/>
      <c r="H50" s="6"/>
      <c r="I50" s="2">
        <f>((F50+G50+H50)*1000)/(E50*10^6)</f>
        <v>0</v>
      </c>
      <c r="J50" s="5">
        <v>261899156.562024</v>
      </c>
    </row>
    <row r="51" spans="1:10" ht="13.25" customHeight="1" x14ac:dyDescent="0.2">
      <c r="A51" s="4" t="s">
        <v>10</v>
      </c>
      <c r="B51" s="5">
        <v>2012</v>
      </c>
      <c r="C51" s="4" t="s">
        <v>11</v>
      </c>
      <c r="D51" s="4" t="s">
        <v>13</v>
      </c>
      <c r="E51" s="5">
        <v>223.06150654294183</v>
      </c>
      <c r="F51" s="8">
        <v>6680.1896046347802</v>
      </c>
      <c r="G51" s="8">
        <v>228320855.80879143</v>
      </c>
      <c r="H51" s="8">
        <v>6902.0069772158286</v>
      </c>
      <c r="I51" s="2">
        <f>((F51+G51+H51)*1000)/(E51*10^6)</f>
        <v>1023.6389126216915</v>
      </c>
      <c r="J51" s="5">
        <v>0</v>
      </c>
    </row>
    <row r="52" spans="1:10" ht="13.25" customHeight="1" x14ac:dyDescent="0.2">
      <c r="A52" s="4" t="s">
        <v>14</v>
      </c>
      <c r="B52" s="5">
        <v>2012</v>
      </c>
      <c r="C52" s="4" t="s">
        <v>15</v>
      </c>
      <c r="D52" s="4" t="s">
        <v>13</v>
      </c>
      <c r="E52" s="5">
        <v>1.5738540000000001</v>
      </c>
      <c r="F52" s="5">
        <v>79.776232901750035</v>
      </c>
      <c r="G52" s="5">
        <v>1742924.4790230002</v>
      </c>
      <c r="H52" s="5">
        <v>52.687595587200022</v>
      </c>
      <c r="I52" s="2">
        <f>((F52+G52+H52)*1000)/(E52*10^6)</f>
        <v>1107.5086652583334</v>
      </c>
      <c r="J52" s="5">
        <v>0</v>
      </c>
    </row>
    <row r="53" spans="1:10" ht="13.25" customHeight="1" x14ac:dyDescent="0.2">
      <c r="A53" s="4" t="s">
        <v>14</v>
      </c>
      <c r="B53" s="5">
        <v>2012</v>
      </c>
      <c r="C53" s="4" t="s">
        <v>16</v>
      </c>
      <c r="D53" s="4" t="s">
        <v>13</v>
      </c>
      <c r="E53" s="5">
        <v>3.0925289999999999</v>
      </c>
      <c r="F53" s="8">
        <v>70.049418215099735</v>
      </c>
      <c r="G53" s="8">
        <v>3287752.6862980798</v>
      </c>
      <c r="H53" s="8">
        <v>99.386855834112012</v>
      </c>
      <c r="I53" s="2">
        <f>((F53+G53+H53)*1000)/(E53*10^6)</f>
        <v>1063.1823089038548</v>
      </c>
      <c r="J53" s="5">
        <v>0</v>
      </c>
    </row>
    <row r="54" spans="1:10" ht="13.25" customHeight="1" x14ac:dyDescent="0.2">
      <c r="A54" s="4" t="s">
        <v>14</v>
      </c>
      <c r="B54" s="5">
        <v>2012</v>
      </c>
      <c r="C54" s="4" t="s">
        <v>17</v>
      </c>
      <c r="D54" s="4" t="s">
        <v>13</v>
      </c>
      <c r="E54" s="5">
        <v>12.295912</v>
      </c>
      <c r="F54" s="5">
        <v>96.263018332727256</v>
      </c>
      <c r="G54" s="5">
        <v>13616794.198643999</v>
      </c>
      <c r="H54" s="5">
        <v>411.62778684160008</v>
      </c>
      <c r="I54" s="2">
        <f>((F54+G54+H54)*1000)/(E54*10^6)</f>
        <v>1107.4658056636363</v>
      </c>
      <c r="J54" s="5">
        <v>0</v>
      </c>
    </row>
    <row r="55" spans="1:10" ht="13.25" customHeight="1" x14ac:dyDescent="0.2">
      <c r="A55" s="4" t="s">
        <v>14</v>
      </c>
      <c r="B55" s="5">
        <v>2012</v>
      </c>
      <c r="C55" s="4" t="s">
        <v>19</v>
      </c>
      <c r="D55" s="4" t="s">
        <v>13</v>
      </c>
      <c r="E55" s="5">
        <v>0.76927599999999996</v>
      </c>
      <c r="F55" s="8">
        <v>8.5074441365062992</v>
      </c>
      <c r="G55" s="8">
        <v>601351.82799670578</v>
      </c>
      <c r="H55" s="8">
        <v>18.178516797741178</v>
      </c>
      <c r="I55" s="2">
        <f>((F55+G55+H55)*1000)/(E55*10^6)</f>
        <v>781.74610147416536</v>
      </c>
      <c r="J55" s="5">
        <v>0</v>
      </c>
    </row>
    <row r="56" spans="1:10" ht="13.25" customHeight="1" x14ac:dyDescent="0.2">
      <c r="A56" s="4" t="s">
        <v>14</v>
      </c>
      <c r="B56" s="5">
        <v>2012</v>
      </c>
      <c r="C56" s="4" t="s">
        <v>20</v>
      </c>
      <c r="D56" s="4" t="s">
        <v>13</v>
      </c>
      <c r="E56" s="5">
        <v>2.3619330000000001</v>
      </c>
      <c r="F56" s="5">
        <v>39.85500306494292</v>
      </c>
      <c r="G56" s="5">
        <v>2092529.9772467997</v>
      </c>
      <c r="H56" s="5">
        <v>63.255966923520006</v>
      </c>
      <c r="I56" s="2">
        <f>((F56+G56+H56)*1000)/(E56*10^6)</f>
        <v>885.98325533230116</v>
      </c>
      <c r="J56" s="5">
        <v>0</v>
      </c>
    </row>
    <row r="57" spans="1:10" ht="13.25" customHeight="1" x14ac:dyDescent="0.2">
      <c r="A57" s="4" t="s">
        <v>21</v>
      </c>
      <c r="B57" s="5">
        <v>2012</v>
      </c>
      <c r="C57" s="4" t="s">
        <v>22</v>
      </c>
      <c r="D57" s="4" t="s">
        <v>12</v>
      </c>
      <c r="E57" s="5">
        <v>14.103744000000001</v>
      </c>
      <c r="F57" s="7"/>
      <c r="G57" s="7"/>
      <c r="H57" s="7"/>
      <c r="I57" s="2">
        <f>((F57+G57+H57)*1000)/(E57*10^6)</f>
        <v>0</v>
      </c>
      <c r="J57" s="5">
        <v>45966589.350683503</v>
      </c>
    </row>
    <row r="58" spans="1:10" ht="13.25" customHeight="1" x14ac:dyDescent="0.2">
      <c r="A58" s="4" t="s">
        <v>21</v>
      </c>
      <c r="B58" s="5">
        <v>2012</v>
      </c>
      <c r="C58" s="4" t="s">
        <v>23</v>
      </c>
      <c r="D58" s="4" t="s">
        <v>12</v>
      </c>
      <c r="E58" s="5">
        <v>50.872429166666663</v>
      </c>
      <c r="F58" s="6"/>
      <c r="G58" s="6"/>
      <c r="H58" s="6"/>
      <c r="I58" s="2">
        <f>((F58+G58+H58)*1000)/(E58*10^6)</f>
        <v>0</v>
      </c>
      <c r="J58" s="5">
        <v>324535940.96324438</v>
      </c>
    </row>
    <row r="59" spans="1:10" ht="13.25" customHeight="1" x14ac:dyDescent="0.2">
      <c r="A59" s="4" t="s">
        <v>10</v>
      </c>
      <c r="B59" s="5">
        <v>2013</v>
      </c>
      <c r="C59" s="4" t="s">
        <v>11</v>
      </c>
      <c r="D59" s="4" t="s">
        <v>12</v>
      </c>
      <c r="E59" s="5">
        <v>313.31720880929373</v>
      </c>
      <c r="F59" s="7"/>
      <c r="G59" s="7"/>
      <c r="H59" s="7"/>
      <c r="I59" s="2">
        <f>((F59+G59+H59)*1000)/(E59*10^6)</f>
        <v>0</v>
      </c>
      <c r="J59" s="5">
        <v>260797649.86126199</v>
      </c>
    </row>
    <row r="60" spans="1:10" ht="13.25" customHeight="1" x14ac:dyDescent="0.2">
      <c r="A60" s="4" t="s">
        <v>10</v>
      </c>
      <c r="B60" s="5">
        <v>2013</v>
      </c>
      <c r="C60" s="4" t="s">
        <v>11</v>
      </c>
      <c r="D60" s="4" t="s">
        <v>13</v>
      </c>
      <c r="E60" s="5">
        <v>221.71176009254665</v>
      </c>
      <c r="F60" s="5">
        <v>5779.1421161432463</v>
      </c>
      <c r="G60" s="5">
        <v>226939285.005943</v>
      </c>
      <c r="H60" s="5">
        <v>6860.2428935669686</v>
      </c>
      <c r="I60" s="2">
        <f>((F60+G60+H60)*1000)/(E60*10^6)</f>
        <v>1023.6350308897404</v>
      </c>
      <c r="J60" s="5">
        <v>0</v>
      </c>
    </row>
    <row r="61" spans="1:10" ht="13.25" customHeight="1" x14ac:dyDescent="0.2">
      <c r="A61" s="4" t="s">
        <v>14</v>
      </c>
      <c r="B61" s="5">
        <v>2013</v>
      </c>
      <c r="C61" s="4" t="s">
        <v>15</v>
      </c>
      <c r="D61" s="4" t="s">
        <v>13</v>
      </c>
      <c r="E61" s="5">
        <v>2.7136279999999999</v>
      </c>
      <c r="F61" s="8">
        <v>126.76311587683338</v>
      </c>
      <c r="G61" s="8">
        <v>2769478.1974860001</v>
      </c>
      <c r="H61" s="8">
        <v>83.719718790400009</v>
      </c>
      <c r="I61" s="2">
        <f>((F61+G61+H61)*1000)/(E61*10^6)</f>
        <v>1020.6589408425428</v>
      </c>
      <c r="J61" s="5">
        <v>0</v>
      </c>
    </row>
    <row r="62" spans="1:10" ht="13.25" customHeight="1" x14ac:dyDescent="0.2">
      <c r="A62" s="4" t="s">
        <v>14</v>
      </c>
      <c r="B62" s="5">
        <v>2013</v>
      </c>
      <c r="C62" s="4" t="s">
        <v>16</v>
      </c>
      <c r="D62" s="4" t="s">
        <v>13</v>
      </c>
      <c r="E62" s="5">
        <v>3.0405414999999998</v>
      </c>
      <c r="F62" s="5">
        <v>68.871840210347798</v>
      </c>
      <c r="G62" s="5">
        <v>3232483.3443520796</v>
      </c>
      <c r="H62" s="5">
        <v>97.716095699712014</v>
      </c>
      <c r="I62" s="2">
        <f>((F62+G62+H62)*1000)/(E62*10^6)</f>
        <v>1063.1823089038546</v>
      </c>
      <c r="J62" s="5">
        <v>0</v>
      </c>
    </row>
    <row r="63" spans="1:10" ht="13.25" customHeight="1" x14ac:dyDescent="0.2">
      <c r="A63" s="4" t="s">
        <v>14</v>
      </c>
      <c r="B63" s="5">
        <v>2013</v>
      </c>
      <c r="C63" s="4" t="s">
        <v>17</v>
      </c>
      <c r="D63" s="4" t="s">
        <v>13</v>
      </c>
      <c r="E63" s="5">
        <v>12.5336085</v>
      </c>
      <c r="F63" s="5">
        <v>98.123911818068166</v>
      </c>
      <c r="G63" s="5">
        <v>13880025.126308249</v>
      </c>
      <c r="H63" s="5">
        <v>419.58510503280007</v>
      </c>
      <c r="I63" s="2">
        <f>((F63+G63+H63)*1000)/(E63*10^6)</f>
        <v>1107.4658056636365</v>
      </c>
      <c r="J63" s="5">
        <v>0</v>
      </c>
    </row>
    <row r="64" spans="1:10" ht="13.25" customHeight="1" x14ac:dyDescent="0.2">
      <c r="A64" s="4" t="s">
        <v>14</v>
      </c>
      <c r="B64" s="5">
        <v>2013</v>
      </c>
      <c r="C64" s="4" t="s">
        <v>19</v>
      </c>
      <c r="D64" s="4" t="s">
        <v>13</v>
      </c>
      <c r="E64" s="5">
        <v>0.76692000000000005</v>
      </c>
      <c r="F64" s="5">
        <v>8.4813890686430007</v>
      </c>
      <c r="G64" s="5">
        <v>599510.1159105883</v>
      </c>
      <c r="H64" s="5">
        <v>18.122842910117651</v>
      </c>
      <c r="I64" s="2">
        <f>((F64+G64+H64)*1000)/(E64*10^6)</f>
        <v>781.74610147416558</v>
      </c>
      <c r="J64" s="5">
        <v>0</v>
      </c>
    </row>
    <row r="65" spans="1:10" ht="13.25" customHeight="1" x14ac:dyDescent="0.2">
      <c r="A65" s="4" t="s">
        <v>14</v>
      </c>
      <c r="B65" s="5">
        <v>2013</v>
      </c>
      <c r="C65" s="4" t="s">
        <v>20</v>
      </c>
      <c r="D65" s="4" t="s">
        <v>13</v>
      </c>
      <c r="E65" s="5">
        <v>0.79600000000000004</v>
      </c>
      <c r="F65" s="5">
        <v>13.431618271853843</v>
      </c>
      <c r="G65" s="5">
        <v>705207.9216</v>
      </c>
      <c r="H65" s="5">
        <v>21.318026240000002</v>
      </c>
      <c r="I65" s="2">
        <f>((F65+G65+H65)*1000)/(E65*10^6)</f>
        <v>885.98325533230127</v>
      </c>
      <c r="J65" s="5">
        <v>0</v>
      </c>
    </row>
    <row r="66" spans="1:10" ht="13.25" customHeight="1" x14ac:dyDescent="0.2">
      <c r="A66" s="4" t="s">
        <v>21</v>
      </c>
      <c r="B66" s="5">
        <v>2013</v>
      </c>
      <c r="C66" s="4" t="s">
        <v>22</v>
      </c>
      <c r="D66" s="4" t="s">
        <v>12</v>
      </c>
      <c r="E66" s="5">
        <v>13.944429</v>
      </c>
      <c r="F66" s="6"/>
      <c r="G66" s="6"/>
      <c r="H66" s="6"/>
      <c r="I66" s="2">
        <f>((F66+G66+H66)*1000)/(E66*10^6)</f>
        <v>0</v>
      </c>
      <c r="J66" s="5">
        <v>45447353.665293567</v>
      </c>
    </row>
    <row r="67" spans="1:10" ht="13.25" customHeight="1" x14ac:dyDescent="0.2">
      <c r="A67" s="4" t="s">
        <v>21</v>
      </c>
      <c r="B67" s="5">
        <v>2013</v>
      </c>
      <c r="C67" s="4" t="s">
        <v>23</v>
      </c>
      <c r="D67" s="4" t="s">
        <v>12</v>
      </c>
      <c r="E67" s="5">
        <v>51.895056439393954</v>
      </c>
      <c r="F67" s="6"/>
      <c r="G67" s="6"/>
      <c r="H67" s="6"/>
      <c r="I67" s="2">
        <f>((F67+G67+H67)*1000)/(E67*10^6)</f>
        <v>0</v>
      </c>
      <c r="J67" s="5">
        <v>331059696.75092137</v>
      </c>
    </row>
    <row r="68" spans="1:10" ht="13.25" customHeight="1" x14ac:dyDescent="0.2">
      <c r="A68" s="4" t="s">
        <v>10</v>
      </c>
      <c r="B68" s="5">
        <v>2014</v>
      </c>
      <c r="C68" s="4" t="s">
        <v>11</v>
      </c>
      <c r="D68" s="4" t="s">
        <v>12</v>
      </c>
      <c r="E68" s="5">
        <v>310.75768128021627</v>
      </c>
      <c r="F68" s="6"/>
      <c r="G68" s="6"/>
      <c r="H68" s="6"/>
      <c r="I68" s="2">
        <f>((F68+G68+H68)*1000)/(E68*10^6)</f>
        <v>0</v>
      </c>
      <c r="J68" s="5">
        <v>258667161.18853599</v>
      </c>
    </row>
    <row r="69" spans="1:10" ht="13.25" customHeight="1" x14ac:dyDescent="0.2">
      <c r="A69" s="4" t="s">
        <v>10</v>
      </c>
      <c r="B69" s="5">
        <v>2014</v>
      </c>
      <c r="C69" s="4" t="s">
        <v>11</v>
      </c>
      <c r="D69" s="4" t="s">
        <v>13</v>
      </c>
      <c r="E69" s="5">
        <v>225.83007449701088</v>
      </c>
      <c r="F69" s="5">
        <v>5655.6474106918604</v>
      </c>
      <c r="G69" s="5">
        <v>231154701.12094143</v>
      </c>
      <c r="H69" s="5">
        <v>6987.6724765304853</v>
      </c>
      <c r="I69" s="2">
        <f>((F69+G69+H69)*1000)/(E69*10^6)</f>
        <v>1023.6340086930645</v>
      </c>
      <c r="J69" s="5">
        <v>0</v>
      </c>
    </row>
    <row r="70" spans="1:10" ht="13.25" customHeight="1" x14ac:dyDescent="0.2">
      <c r="A70" s="4" t="s">
        <v>14</v>
      </c>
      <c r="B70" s="5">
        <v>2014</v>
      </c>
      <c r="C70" s="4" t="s">
        <v>15</v>
      </c>
      <c r="D70" s="4" t="s">
        <v>13</v>
      </c>
      <c r="E70" s="5">
        <v>2.7459159999999998</v>
      </c>
      <c r="F70" s="5">
        <v>128.56194788616671</v>
      </c>
      <c r="G70" s="5">
        <v>2808778.4781419998</v>
      </c>
      <c r="H70" s="5">
        <v>84.907743468800021</v>
      </c>
      <c r="I70" s="2">
        <f>((F70+G70+H70)*1000)/(E70*10^6)</f>
        <v>1022.9708220620569</v>
      </c>
      <c r="J70" s="5">
        <v>0</v>
      </c>
    </row>
    <row r="71" spans="1:10" ht="13.25" customHeight="1" x14ac:dyDescent="0.2">
      <c r="A71" s="4" t="s">
        <v>14</v>
      </c>
      <c r="B71" s="5">
        <v>2014</v>
      </c>
      <c r="C71" s="4" t="s">
        <v>16</v>
      </c>
      <c r="D71" s="4" t="s">
        <v>13</v>
      </c>
      <c r="E71" s="5">
        <v>3.0407052499999998</v>
      </c>
      <c r="F71" s="5">
        <v>68.875549340394031</v>
      </c>
      <c r="G71" s="5">
        <v>3232657.4314834797</v>
      </c>
      <c r="H71" s="5">
        <v>97.721358252672019</v>
      </c>
      <c r="I71" s="2">
        <f>((F71+G71+H71)*1000)/(E71*10^6)</f>
        <v>1063.1823089038548</v>
      </c>
      <c r="J71" s="5">
        <v>0</v>
      </c>
    </row>
    <row r="72" spans="1:10" ht="13.25" customHeight="1" x14ac:dyDescent="0.2">
      <c r="A72" s="4" t="s">
        <v>14</v>
      </c>
      <c r="B72" s="5">
        <v>2014</v>
      </c>
      <c r="C72" s="4" t="s">
        <v>17</v>
      </c>
      <c r="D72" s="4" t="s">
        <v>13</v>
      </c>
      <c r="E72" s="5">
        <v>12.61432875</v>
      </c>
      <c r="F72" s="5">
        <v>98.755859648011352</v>
      </c>
      <c r="G72" s="5">
        <v>13969416.708804375</v>
      </c>
      <c r="H72" s="5">
        <v>422.28736069800004</v>
      </c>
      <c r="I72" s="2">
        <f>((F72+G72+H72)*1000)/(E72*10^6)</f>
        <v>1107.4658056636363</v>
      </c>
      <c r="J72" s="5">
        <v>0</v>
      </c>
    </row>
    <row r="73" spans="1:10" ht="13.25" customHeight="1" x14ac:dyDescent="0.2">
      <c r="A73" s="4" t="s">
        <v>14</v>
      </c>
      <c r="B73" s="5">
        <v>2014</v>
      </c>
      <c r="C73" s="4" t="s">
        <v>19</v>
      </c>
      <c r="D73" s="4" t="s">
        <v>13</v>
      </c>
      <c r="E73" s="5">
        <v>0.763764</v>
      </c>
      <c r="F73" s="5">
        <v>8.4464867790943661</v>
      </c>
      <c r="G73" s="5">
        <v>597043.03469505883</v>
      </c>
      <c r="H73" s="5">
        <v>18.04826447661177</v>
      </c>
      <c r="I73" s="2">
        <f>((F73+G73+H73)*1000)/(E73*10^6)</f>
        <v>781.74610147416558</v>
      </c>
      <c r="J73" s="5">
        <v>0</v>
      </c>
    </row>
    <row r="74" spans="1:10" ht="13.25" customHeight="1" x14ac:dyDescent="0.2">
      <c r="A74" s="4" t="s">
        <v>14</v>
      </c>
      <c r="B74" s="5">
        <v>2014</v>
      </c>
      <c r="C74" s="4" t="s">
        <v>20</v>
      </c>
      <c r="D74" s="4" t="s">
        <v>13</v>
      </c>
      <c r="E74" s="5">
        <v>0.79600000000000004</v>
      </c>
      <c r="F74" s="5">
        <v>13.431618271853843</v>
      </c>
      <c r="G74" s="5">
        <v>705207.9216</v>
      </c>
      <c r="H74" s="5">
        <v>21.318026240000002</v>
      </c>
      <c r="I74" s="2">
        <f>((F74+G74+H74)*1000)/(E74*10^6)</f>
        <v>885.98325533230127</v>
      </c>
      <c r="J74" s="5">
        <v>0</v>
      </c>
    </row>
    <row r="75" spans="1:10" ht="13.25" customHeight="1" x14ac:dyDescent="0.2">
      <c r="A75" s="4" t="s">
        <v>21</v>
      </c>
      <c r="B75" s="5">
        <v>2014</v>
      </c>
      <c r="C75" s="4" t="s">
        <v>22</v>
      </c>
      <c r="D75" s="4" t="s">
        <v>12</v>
      </c>
      <c r="E75" s="5">
        <v>14.416263000000001</v>
      </c>
      <c r="F75" s="6"/>
      <c r="G75" s="6"/>
      <c r="H75" s="6"/>
      <c r="I75" s="2">
        <f>((F75+G75+H75)*1000)/(E75*10^6)</f>
        <v>0</v>
      </c>
      <c r="J75" s="5">
        <v>46985143.894589446</v>
      </c>
    </row>
    <row r="76" spans="1:10" ht="13.25" customHeight="1" x14ac:dyDescent="0.2">
      <c r="A76" s="4" t="s">
        <v>21</v>
      </c>
      <c r="B76" s="5">
        <v>2014</v>
      </c>
      <c r="C76" s="4" t="s">
        <v>23</v>
      </c>
      <c r="D76" s="4" t="s">
        <v>12</v>
      </c>
      <c r="E76" s="5">
        <v>52.232654545454544</v>
      </c>
      <c r="F76" s="6"/>
      <c r="G76" s="6"/>
      <c r="H76" s="6"/>
      <c r="I76" s="2">
        <f>((F76+G76+H76)*1000)/(E76*10^6)</f>
        <v>0</v>
      </c>
      <c r="J76" s="5">
        <v>333213372.53980178</v>
      </c>
    </row>
    <row r="77" spans="1:10" ht="13.25" customHeight="1" x14ac:dyDescent="0.2">
      <c r="A77" s="4" t="s">
        <v>10</v>
      </c>
      <c r="B77" s="5">
        <v>2015</v>
      </c>
      <c r="C77" s="4" t="s">
        <v>11</v>
      </c>
      <c r="D77" s="4" t="s">
        <v>12</v>
      </c>
      <c r="E77" s="5">
        <v>325.58778715962336</v>
      </c>
      <c r="F77" s="6"/>
      <c r="G77" s="6"/>
      <c r="H77" s="6"/>
      <c r="I77" s="2">
        <f>((F77+G77+H77)*1000)/(E77*10^6)</f>
        <v>0</v>
      </c>
      <c r="J77" s="5">
        <v>271011381.843512</v>
      </c>
    </row>
    <row r="78" spans="1:10" ht="13.25" customHeight="1" x14ac:dyDescent="0.2">
      <c r="A78" s="4" t="s">
        <v>10</v>
      </c>
      <c r="B78" s="5">
        <v>2015</v>
      </c>
      <c r="C78" s="4" t="s">
        <v>11</v>
      </c>
      <c r="D78" s="4" t="s">
        <v>13</v>
      </c>
      <c r="E78" s="5">
        <v>221.94437806733683</v>
      </c>
      <c r="F78" s="5">
        <v>4861.8901165770894</v>
      </c>
      <c r="G78" s="5">
        <v>227177387.65262434</v>
      </c>
      <c r="H78" s="5">
        <v>6867.4405984059194</v>
      </c>
      <c r="I78" s="2">
        <f>((F78+G78+H78)*1000)/(E78*10^6)</f>
        <v>1023.6308707689421</v>
      </c>
      <c r="J78" s="5">
        <v>0</v>
      </c>
    </row>
    <row r="79" spans="1:10" ht="13.25" customHeight="1" x14ac:dyDescent="0.2">
      <c r="A79" s="4" t="s">
        <v>14</v>
      </c>
      <c r="B79" s="5">
        <v>2015</v>
      </c>
      <c r="C79" s="4" t="s">
        <v>15</v>
      </c>
      <c r="D79" s="4" t="s">
        <v>13</v>
      </c>
      <c r="E79" s="5">
        <v>2.8594539999999999</v>
      </c>
      <c r="F79" s="5">
        <v>134.16859826241671</v>
      </c>
      <c r="G79" s="5">
        <v>2931270.7020869995</v>
      </c>
      <c r="H79" s="5">
        <v>88.610612316800001</v>
      </c>
      <c r="I79" s="2">
        <f>((F79+G79+H79)*1000)/(E79*10^6)</f>
        <v>1025.1934394809566</v>
      </c>
      <c r="J79" s="5">
        <v>0</v>
      </c>
    </row>
    <row r="80" spans="1:10" ht="13.25" customHeight="1" x14ac:dyDescent="0.2">
      <c r="A80" s="4" t="s">
        <v>14</v>
      </c>
      <c r="B80" s="5">
        <v>2015</v>
      </c>
      <c r="C80" s="4" t="s">
        <v>16</v>
      </c>
      <c r="D80" s="4" t="s">
        <v>13</v>
      </c>
      <c r="E80" s="5">
        <v>3.0442300000000002</v>
      </c>
      <c r="F80" s="5">
        <v>68.955389072488273</v>
      </c>
      <c r="G80" s="5">
        <v>3236404.6902095997</v>
      </c>
      <c r="H80" s="5">
        <v>97.834635709440008</v>
      </c>
      <c r="I80" s="2">
        <f>((F80+G80+H80)*1000)/(E80*10^6)</f>
        <v>1063.1823089038546</v>
      </c>
      <c r="J80" s="5">
        <v>0</v>
      </c>
    </row>
    <row r="81" spans="1:10" ht="13.25" customHeight="1" x14ac:dyDescent="0.2">
      <c r="A81" s="4" t="s">
        <v>14</v>
      </c>
      <c r="B81" s="5">
        <v>2015</v>
      </c>
      <c r="C81" s="4" t="s">
        <v>17</v>
      </c>
      <c r="D81" s="4" t="s">
        <v>13</v>
      </c>
      <c r="E81" s="5">
        <v>12.646038000000001</v>
      </c>
      <c r="F81" s="5">
        <v>99.004107042272707</v>
      </c>
      <c r="G81" s="5">
        <v>14004532.309131</v>
      </c>
      <c r="H81" s="5">
        <v>423.34888491840013</v>
      </c>
      <c r="I81" s="2">
        <f>((F81+G81+H81)*1000)/(E81*10^6)</f>
        <v>1107.4658056636365</v>
      </c>
      <c r="J81" s="5">
        <v>0</v>
      </c>
    </row>
    <row r="82" spans="1:10" ht="13.25" customHeight="1" x14ac:dyDescent="0.2">
      <c r="A82" s="4" t="s">
        <v>14</v>
      </c>
      <c r="B82" s="5">
        <v>2015</v>
      </c>
      <c r="C82" s="4" t="s">
        <v>19</v>
      </c>
      <c r="D82" s="4" t="s">
        <v>13</v>
      </c>
      <c r="E82" s="5">
        <v>0.76535200000000003</v>
      </c>
      <c r="F82" s="5">
        <v>8.4640485141397495</v>
      </c>
      <c r="G82" s="5">
        <v>598284.39241694112</v>
      </c>
      <c r="H82" s="5">
        <v>18.085790000188236</v>
      </c>
      <c r="I82" s="2">
        <f>((F82+G82+H82)*1000)/(E82*10^6)</f>
        <v>781.74610147416536</v>
      </c>
      <c r="J82" s="5">
        <v>0</v>
      </c>
    </row>
    <row r="83" spans="1:10" ht="13.25" customHeight="1" x14ac:dyDescent="0.2">
      <c r="A83" s="4" t="s">
        <v>14</v>
      </c>
      <c r="B83" s="5">
        <v>2015</v>
      </c>
      <c r="C83" s="4" t="s">
        <v>20</v>
      </c>
      <c r="D83" s="4" t="s">
        <v>13</v>
      </c>
      <c r="E83" s="5">
        <v>0.78439599999999998</v>
      </c>
      <c r="F83" s="5">
        <v>13.23581362558928</v>
      </c>
      <c r="G83" s="5">
        <v>694927.47848160006</v>
      </c>
      <c r="H83" s="5">
        <v>21.007254410240005</v>
      </c>
      <c r="I83" s="2">
        <f>((F83+G83+H83)*1000)/(E83*10^6)</f>
        <v>885.98325533230138</v>
      </c>
      <c r="J83" s="5">
        <v>0</v>
      </c>
    </row>
    <row r="84" spans="1:10" ht="13.25" customHeight="1" x14ac:dyDescent="0.2">
      <c r="A84" s="4" t="s">
        <v>21</v>
      </c>
      <c r="B84" s="5">
        <v>2015</v>
      </c>
      <c r="C84" s="4" t="s">
        <v>22</v>
      </c>
      <c r="D84" s="4" t="s">
        <v>12</v>
      </c>
      <c r="E84" s="5">
        <v>14.347118999999999</v>
      </c>
      <c r="F84" s="6"/>
      <c r="G84" s="6"/>
      <c r="H84" s="6"/>
      <c r="I84" s="2">
        <f>((F84+G84+H84)*1000)/(E84*10^6)</f>
        <v>0</v>
      </c>
      <c r="J84" s="5">
        <v>46759791.402792685</v>
      </c>
    </row>
    <row r="85" spans="1:10" ht="13.25" customHeight="1" x14ac:dyDescent="0.2">
      <c r="A85" s="4" t="s">
        <v>21</v>
      </c>
      <c r="B85" s="5">
        <v>2015</v>
      </c>
      <c r="C85" s="4" t="s">
        <v>23</v>
      </c>
      <c r="D85" s="4" t="s">
        <v>12</v>
      </c>
      <c r="E85" s="5">
        <v>51.917999999999999</v>
      </c>
      <c r="F85" s="6"/>
      <c r="G85" s="6"/>
      <c r="H85" s="6"/>
      <c r="I85" s="2">
        <f>((F85+G85+H85)*1000)/(E85*10^6)</f>
        <v>0</v>
      </c>
      <c r="J85" s="5">
        <v>331206063.06667042</v>
      </c>
    </row>
    <row r="86" spans="1:10" ht="13.25" customHeight="1" x14ac:dyDescent="0.2">
      <c r="A86" s="4" t="s">
        <v>10</v>
      </c>
      <c r="B86" s="5">
        <v>2016</v>
      </c>
      <c r="C86" s="4" t="s">
        <v>11</v>
      </c>
      <c r="D86" s="4" t="s">
        <v>12</v>
      </c>
      <c r="E86" s="5">
        <v>348.84990884472933</v>
      </c>
      <c r="F86" s="6"/>
      <c r="G86" s="6"/>
      <c r="H86" s="6"/>
      <c r="I86" s="2">
        <f>((F86+G86+H86)*1000)/(E86*10^6)</f>
        <v>0</v>
      </c>
      <c r="J86" s="5">
        <v>290374208.06463701</v>
      </c>
    </row>
    <row r="87" spans="1:10" ht="13.25" customHeight="1" x14ac:dyDescent="0.2">
      <c r="A87" s="4" t="s">
        <v>10</v>
      </c>
      <c r="B87" s="5">
        <v>2016</v>
      </c>
      <c r="C87" s="4" t="s">
        <v>11</v>
      </c>
      <c r="D87" s="4" t="s">
        <v>13</v>
      </c>
      <c r="E87" s="5">
        <v>227.10318784182704</v>
      </c>
      <c r="F87" s="5">
        <v>4642.8824737171281</v>
      </c>
      <c r="G87" s="5">
        <v>232457831.96110755</v>
      </c>
      <c r="H87" s="5">
        <v>7027.0653656259246</v>
      </c>
      <c r="I87" s="2">
        <f>((F87+G87+H87)*1000)/(E87*10^6)</f>
        <v>1023.6294088080233</v>
      </c>
      <c r="J87" s="5">
        <v>0</v>
      </c>
    </row>
    <row r="88" spans="1:10" ht="13.25" customHeight="1" x14ac:dyDescent="0.2">
      <c r="A88" s="4" t="s">
        <v>14</v>
      </c>
      <c r="B88" s="5">
        <v>2016</v>
      </c>
      <c r="C88" s="4" t="s">
        <v>15</v>
      </c>
      <c r="D88" s="4" t="s">
        <v>13</v>
      </c>
      <c r="E88" s="5">
        <v>2.3965079999999999</v>
      </c>
      <c r="F88" s="5">
        <v>116.65178220850004</v>
      </c>
      <c r="G88" s="5">
        <v>2548569.1582259997</v>
      </c>
      <c r="H88" s="5">
        <v>77.041766726400013</v>
      </c>
      <c r="I88" s="2">
        <f>((F88+G88+H88)*1000)/(E88*10^6)</f>
        <v>1063.5319605755269</v>
      </c>
      <c r="J88" s="5">
        <v>0</v>
      </c>
    </row>
    <row r="89" spans="1:10" ht="13.25" customHeight="1" x14ac:dyDescent="0.2">
      <c r="A89" s="4" t="s">
        <v>14</v>
      </c>
      <c r="B89" s="5">
        <v>2016</v>
      </c>
      <c r="C89" s="4" t="s">
        <v>16</v>
      </c>
      <c r="D89" s="4" t="s">
        <v>13</v>
      </c>
      <c r="E89" s="5">
        <v>3.0493655</v>
      </c>
      <c r="F89" s="5">
        <v>69.071714186090645</v>
      </c>
      <c r="G89" s="5">
        <v>3241864.3815885601</v>
      </c>
      <c r="H89" s="5">
        <v>97.999679011584021</v>
      </c>
      <c r="I89" s="2">
        <f>((F89+G89+H89)*1000)/(E89*10^6)</f>
        <v>1063.1823089038548</v>
      </c>
      <c r="J89" s="5">
        <v>0</v>
      </c>
    </row>
    <row r="90" spans="1:10" ht="13.25" customHeight="1" x14ac:dyDescent="0.2">
      <c r="A90" s="4" t="s">
        <v>14</v>
      </c>
      <c r="B90" s="5">
        <v>2016</v>
      </c>
      <c r="C90" s="4" t="s">
        <v>17</v>
      </c>
      <c r="D90" s="4" t="s">
        <v>13</v>
      </c>
      <c r="E90" s="5">
        <v>12.8692525</v>
      </c>
      <c r="F90" s="5">
        <v>100.7516229244318</v>
      </c>
      <c r="G90" s="5">
        <v>14251725.515186248</v>
      </c>
      <c r="H90" s="5">
        <v>430.82139209200011</v>
      </c>
      <c r="I90" s="2">
        <f>((F90+G90+H90)*1000)/(E90*10^6)</f>
        <v>1107.4658056636363</v>
      </c>
      <c r="J90" s="5">
        <v>0</v>
      </c>
    </row>
    <row r="91" spans="1:10" ht="13.25" customHeight="1" x14ac:dyDescent="0.2">
      <c r="A91" s="4" t="s">
        <v>14</v>
      </c>
      <c r="B91" s="5">
        <v>2016</v>
      </c>
      <c r="C91" s="4" t="s">
        <v>19</v>
      </c>
      <c r="D91" s="4" t="s">
        <v>13</v>
      </c>
      <c r="E91" s="5">
        <v>0.76888599999999996</v>
      </c>
      <c r="F91" s="5">
        <v>8.5031311159347016</v>
      </c>
      <c r="G91" s="5">
        <v>601046.96054611763</v>
      </c>
      <c r="H91" s="5">
        <v>18.169300831623531</v>
      </c>
      <c r="I91" s="2">
        <f>((F91+G91+H91)*1000)/(E91*10^6)</f>
        <v>781.74610147416536</v>
      </c>
      <c r="J91" s="5">
        <v>0</v>
      </c>
    </row>
    <row r="92" spans="1:10" ht="13.25" customHeight="1" x14ac:dyDescent="0.2">
      <c r="A92" s="4" t="s">
        <v>14</v>
      </c>
      <c r="B92" s="5">
        <v>2016</v>
      </c>
      <c r="C92" s="4" t="s">
        <v>20</v>
      </c>
      <c r="D92" s="4" t="s">
        <v>13</v>
      </c>
      <c r="E92" s="5">
        <v>0.82116</v>
      </c>
      <c r="F92" s="5">
        <v>13.856165402155153</v>
      </c>
      <c r="G92" s="5">
        <v>727498.16193600011</v>
      </c>
      <c r="H92" s="5">
        <v>21.991847270400005</v>
      </c>
      <c r="I92" s="2">
        <f>((F92+G92+H92)*1000)/(E92*10^6)</f>
        <v>885.9832553323015</v>
      </c>
      <c r="J92" s="5">
        <v>0</v>
      </c>
    </row>
    <row r="93" spans="1:10" ht="13.25" customHeight="1" x14ac:dyDescent="0.2">
      <c r="A93" s="4" t="s">
        <v>21</v>
      </c>
      <c r="B93" s="5">
        <v>2016</v>
      </c>
      <c r="C93" s="4" t="s">
        <v>22</v>
      </c>
      <c r="D93" s="4" t="s">
        <v>12</v>
      </c>
      <c r="E93" s="5">
        <v>14.910135</v>
      </c>
      <c r="F93" s="6"/>
      <c r="G93" s="6"/>
      <c r="H93" s="6"/>
      <c r="I93" s="2">
        <f>((F93+G93+H93)*1000)/(E93*10^6)</f>
        <v>0</v>
      </c>
      <c r="J93" s="5">
        <v>48594759.853004515</v>
      </c>
    </row>
    <row r="94" spans="1:10" ht="13.25" customHeight="1" x14ac:dyDescent="0.2">
      <c r="A94" s="4" t="s">
        <v>21</v>
      </c>
      <c r="B94" s="5">
        <v>2016</v>
      </c>
      <c r="C94" s="4" t="s">
        <v>23</v>
      </c>
      <c r="D94" s="4" t="s">
        <v>12</v>
      </c>
      <c r="E94" s="5">
        <v>51.93</v>
      </c>
      <c r="F94" s="6"/>
      <c r="G94" s="6"/>
      <c r="H94" s="6"/>
      <c r="I94" s="2">
        <f>((F94+G94+H94)*1000)/(E94*10^6)</f>
        <v>0</v>
      </c>
      <c r="J94" s="5">
        <v>331282615.95308363</v>
      </c>
    </row>
    <row r="95" spans="1:10" ht="13.25" customHeight="1" x14ac:dyDescent="0.2">
      <c r="A95" s="4" t="s">
        <v>10</v>
      </c>
      <c r="B95" s="5">
        <v>2017</v>
      </c>
      <c r="C95" s="4" t="s">
        <v>11</v>
      </c>
      <c r="D95" s="4" t="s">
        <v>12</v>
      </c>
      <c r="E95" s="5">
        <v>336.55744659221705</v>
      </c>
      <c r="F95" s="6"/>
      <c r="G95" s="6"/>
      <c r="H95" s="6"/>
      <c r="I95" s="2">
        <f>((F95+G95+H95)*1000)/(E95*10^6)</f>
        <v>0</v>
      </c>
      <c r="J95" s="5">
        <v>280142260.45267254</v>
      </c>
    </row>
    <row r="96" spans="1:10" ht="13.25" customHeight="1" x14ac:dyDescent="0.2">
      <c r="A96" s="4" t="s">
        <v>10</v>
      </c>
      <c r="B96" s="5">
        <v>2017</v>
      </c>
      <c r="C96" s="4" t="s">
        <v>11</v>
      </c>
      <c r="D96" s="4" t="s">
        <v>13</v>
      </c>
      <c r="E96" s="5">
        <v>216.58958524411148</v>
      </c>
      <c r="F96" s="5">
        <v>3818.3541829605306</v>
      </c>
      <c r="G96" s="5">
        <v>221696339.40263319</v>
      </c>
      <c r="H96" s="5">
        <v>6701.7516904439726</v>
      </c>
      <c r="I96" s="2">
        <f>((F96+G96+H96)*1000)/(E96*10^6)</f>
        <v>1023.6265943195173</v>
      </c>
      <c r="J96" s="5">
        <v>0</v>
      </c>
    </row>
    <row r="97" spans="1:10" ht="13.25" customHeight="1" x14ac:dyDescent="0.2">
      <c r="A97" s="4" t="s">
        <v>14</v>
      </c>
      <c r="B97" s="5">
        <v>2017</v>
      </c>
      <c r="C97" s="4" t="s">
        <v>15</v>
      </c>
      <c r="D97" s="4" t="s">
        <v>13</v>
      </c>
      <c r="E97" s="5">
        <v>2.5466535634920633</v>
      </c>
      <c r="F97" s="5">
        <v>129.08594304250235</v>
      </c>
      <c r="G97" s="5">
        <v>2820226.5492234174</v>
      </c>
      <c r="H97" s="5">
        <v>85.253812014311137</v>
      </c>
      <c r="I97" s="2">
        <f>((F97+G97+H97)*1000)/(E97*10^6)</f>
        <v>1107.5086652583334</v>
      </c>
      <c r="J97" s="5">
        <v>0</v>
      </c>
    </row>
    <row r="98" spans="1:10" ht="13.25" customHeight="1" x14ac:dyDescent="0.2">
      <c r="A98" s="4" t="s">
        <v>14</v>
      </c>
      <c r="B98" s="5">
        <v>2017</v>
      </c>
      <c r="C98" s="4" t="s">
        <v>16</v>
      </c>
      <c r="D98" s="4" t="s">
        <v>13</v>
      </c>
      <c r="E98" s="5">
        <v>3.043634</v>
      </c>
      <c r="F98" s="5">
        <v>68.941888971678793</v>
      </c>
      <c r="G98" s="5">
        <v>3235771.0662076799</v>
      </c>
      <c r="H98" s="5">
        <v>97.815481623552017</v>
      </c>
      <c r="I98" s="2">
        <f>((F98+G98+H98)*1000)/(E98*10^6)</f>
        <v>1063.1823089038548</v>
      </c>
      <c r="J98" s="5">
        <v>0</v>
      </c>
    </row>
    <row r="99" spans="1:10" ht="13.25" customHeight="1" x14ac:dyDescent="0.2">
      <c r="A99" s="4" t="s">
        <v>14</v>
      </c>
      <c r="B99" s="5">
        <v>2017</v>
      </c>
      <c r="C99" s="4" t="s">
        <v>17</v>
      </c>
      <c r="D99" s="4" t="s">
        <v>13</v>
      </c>
      <c r="E99" s="5">
        <v>13.763292436507937</v>
      </c>
      <c r="F99" s="5">
        <v>107.75093967281565</v>
      </c>
      <c r="G99" s="5">
        <v>15241807.244853582</v>
      </c>
      <c r="H99" s="5">
        <v>460.75098823848896</v>
      </c>
      <c r="I99" s="2">
        <f>((F99+G99+H99)*1000)/(E99*10^6)</f>
        <v>1107.4658056636363</v>
      </c>
      <c r="J99" s="5">
        <v>0</v>
      </c>
    </row>
    <row r="100" spans="1:10" ht="13.25" customHeight="1" x14ac:dyDescent="0.2">
      <c r="A100" s="4" t="s">
        <v>14</v>
      </c>
      <c r="B100" s="5">
        <v>2017</v>
      </c>
      <c r="C100" s="4" t="s">
        <v>19</v>
      </c>
      <c r="D100" s="4" t="s">
        <v>13</v>
      </c>
      <c r="E100" s="5">
        <v>0.75865199999999999</v>
      </c>
      <c r="F100" s="5">
        <v>8.3899530325250993</v>
      </c>
      <c r="G100" s="5">
        <v>593046.9259581177</v>
      </c>
      <c r="H100" s="5">
        <v>17.927464428423534</v>
      </c>
      <c r="I100" s="2">
        <f>((F100+G100+H100)*1000)/(E100*10^6)</f>
        <v>781.74610147416558</v>
      </c>
      <c r="J100" s="5">
        <v>0</v>
      </c>
    </row>
    <row r="101" spans="1:10" ht="13.25" customHeight="1" x14ac:dyDescent="0.2">
      <c r="A101" s="4" t="s">
        <v>14</v>
      </c>
      <c r="B101" s="5">
        <v>2017</v>
      </c>
      <c r="C101" s="4" t="s">
        <v>20</v>
      </c>
      <c r="D101" s="4" t="s">
        <v>13</v>
      </c>
      <c r="E101" s="5">
        <v>0.78589399999999998</v>
      </c>
      <c r="F101" s="5">
        <v>13.261090716256664</v>
      </c>
      <c r="G101" s="5">
        <v>696254.61600239982</v>
      </c>
      <c r="H101" s="5">
        <v>21.047373007359997</v>
      </c>
      <c r="I101" s="2">
        <f>((F101+G101+H101)*1000)/(E101*10^6)</f>
        <v>885.98325533230116</v>
      </c>
      <c r="J101" s="5">
        <v>0</v>
      </c>
    </row>
    <row r="102" spans="1:10" ht="13.25" customHeight="1" x14ac:dyDescent="0.2">
      <c r="A102" s="4" t="s">
        <v>21</v>
      </c>
      <c r="B102" s="5">
        <v>2017</v>
      </c>
      <c r="C102" s="4" t="s">
        <v>22</v>
      </c>
      <c r="D102" s="4" t="s">
        <v>12</v>
      </c>
      <c r="E102" s="5">
        <v>14.981595</v>
      </c>
      <c r="F102" s="6"/>
      <c r="G102" s="6"/>
      <c r="H102" s="6"/>
      <c r="I102" s="2">
        <f>((F102+G102+H102)*1000)/(E102*10^6)</f>
        <v>0</v>
      </c>
      <c r="J102" s="5">
        <v>48827660.597303323</v>
      </c>
    </row>
    <row r="103" spans="1:10" ht="13.25" customHeight="1" x14ac:dyDescent="0.2">
      <c r="A103" s="4" t="s">
        <v>21</v>
      </c>
      <c r="B103" s="5">
        <v>2017</v>
      </c>
      <c r="C103" s="4" t="s">
        <v>23</v>
      </c>
      <c r="D103" s="4" t="s">
        <v>12</v>
      </c>
      <c r="E103" s="5">
        <v>52.031999999999996</v>
      </c>
      <c r="F103" s="6"/>
      <c r="G103" s="6"/>
      <c r="H103" s="6"/>
      <c r="I103" s="2">
        <f>((F103+G103+H103)*1000)/(E103*10^6)</f>
        <v>0</v>
      </c>
      <c r="J103" s="5">
        <v>331933315.4875958</v>
      </c>
    </row>
    <row r="104" spans="1:10" ht="13.25" customHeight="1" x14ac:dyDescent="0.2">
      <c r="A104" s="4" t="s">
        <v>10</v>
      </c>
      <c r="B104" s="5">
        <v>2018</v>
      </c>
      <c r="C104" s="4" t="s">
        <v>11</v>
      </c>
      <c r="D104" s="4" t="s">
        <v>12</v>
      </c>
      <c r="E104" s="5">
        <v>328.13524284597321</v>
      </c>
      <c r="F104" s="6"/>
      <c r="G104" s="6"/>
      <c r="H104" s="6"/>
      <c r="I104" s="2">
        <f>((F104+G104+H104)*1000)/(E104*10^6)</f>
        <v>0</v>
      </c>
      <c r="J104" s="5">
        <v>273131822.20697147</v>
      </c>
    </row>
    <row r="105" spans="1:10" ht="13.25" customHeight="1" x14ac:dyDescent="0.2">
      <c r="A105" s="4" t="s">
        <v>10</v>
      </c>
      <c r="B105" s="5">
        <v>2018</v>
      </c>
      <c r="C105" s="4" t="s">
        <v>11</v>
      </c>
      <c r="D105" s="4" t="s">
        <v>13</v>
      </c>
      <c r="E105" s="5">
        <v>195.11325522196526</v>
      </c>
      <c r="F105" s="5">
        <v>3191.1059344209389</v>
      </c>
      <c r="G105" s="5">
        <v>199713639.98360774</v>
      </c>
      <c r="H105" s="5">
        <v>6037.2274434990741</v>
      </c>
      <c r="I105" s="2">
        <f>((F105+G105+H105)*1000)/(E105*10^6)</f>
        <v>1023.6253200213198</v>
      </c>
      <c r="J105" s="5">
        <v>0</v>
      </c>
    </row>
    <row r="106" spans="1:10" ht="13.25" customHeight="1" x14ac:dyDescent="0.2">
      <c r="A106" s="4" t="s">
        <v>14</v>
      </c>
      <c r="B106" s="5">
        <v>2018</v>
      </c>
      <c r="C106" s="4" t="s">
        <v>15</v>
      </c>
      <c r="D106" s="4" t="s">
        <v>13</v>
      </c>
      <c r="E106" s="5">
        <v>2.1164198095238094</v>
      </c>
      <c r="F106" s="5">
        <v>100.30498360438114</v>
      </c>
      <c r="G106" s="5">
        <v>2151827.5129371425</v>
      </c>
      <c r="H106" s="5">
        <v>67.793159338666669</v>
      </c>
      <c r="I106" s="2">
        <f>((F106+G106+H106)*1000)/(E106*10^6)</f>
        <v>1016.8094257085415</v>
      </c>
      <c r="J106" s="5">
        <v>0</v>
      </c>
    </row>
    <row r="107" spans="1:10" ht="13.25" customHeight="1" x14ac:dyDescent="0.2">
      <c r="A107" s="4" t="s">
        <v>14</v>
      </c>
      <c r="B107" s="5">
        <v>2018</v>
      </c>
      <c r="C107" s="4" t="s">
        <v>16</v>
      </c>
      <c r="D107" s="4" t="s">
        <v>13</v>
      </c>
      <c r="E107" s="5">
        <v>3.0309154999999999</v>
      </c>
      <c r="F107" s="5">
        <v>68.6537999915694</v>
      </c>
      <c r="G107" s="5">
        <v>3222249.6788445599</v>
      </c>
      <c r="H107" s="5">
        <v>97.406737929984018</v>
      </c>
      <c r="I107" s="2">
        <f>((F107+G107+H107)*1000)/(E107*10^6)</f>
        <v>1063.1823089038548</v>
      </c>
      <c r="J107" s="5">
        <v>0</v>
      </c>
    </row>
    <row r="108" spans="1:10" ht="13.25" customHeight="1" x14ac:dyDescent="0.2">
      <c r="A108" s="4" t="s">
        <v>14</v>
      </c>
      <c r="B108" s="5">
        <v>2018</v>
      </c>
      <c r="C108" s="4" t="s">
        <v>17</v>
      </c>
      <c r="D108" s="4" t="s">
        <v>13</v>
      </c>
      <c r="E108" s="5">
        <v>16.299624690476186</v>
      </c>
      <c r="F108" s="5">
        <v>125.85742128030377</v>
      </c>
      <c r="G108" s="5">
        <v>17738688.813864104</v>
      </c>
      <c r="H108" s="5">
        <v>540.69034540933342</v>
      </c>
      <c r="I108" s="2">
        <f>((F108+G108+H108)*1000)/(E108*10^6)</f>
        <v>1088.3290688279367</v>
      </c>
      <c r="J108" s="5">
        <v>0</v>
      </c>
    </row>
    <row r="109" spans="1:10" ht="13.25" customHeight="1" x14ac:dyDescent="0.2">
      <c r="A109" s="4" t="s">
        <v>14</v>
      </c>
      <c r="B109" s="5">
        <v>2018</v>
      </c>
      <c r="C109" s="4" t="s">
        <v>19</v>
      </c>
      <c r="D109" s="4" t="s">
        <v>13</v>
      </c>
      <c r="E109" s="5">
        <v>0.76023200000000002</v>
      </c>
      <c r="F109" s="5">
        <v>8.407426295353627</v>
      </c>
      <c r="G109" s="5">
        <v>594282.02998870588</v>
      </c>
      <c r="H109" s="5">
        <v>17.964800906541178</v>
      </c>
      <c r="I109" s="2">
        <f>((F109+G109+H109)*1000)/(E109*10^6)</f>
        <v>781.74610147416536</v>
      </c>
      <c r="J109" s="5">
        <v>0</v>
      </c>
    </row>
    <row r="110" spans="1:10" ht="13.25" customHeight="1" x14ac:dyDescent="0.2">
      <c r="A110" s="4" t="s">
        <v>14</v>
      </c>
      <c r="B110" s="5">
        <v>2018</v>
      </c>
      <c r="C110" s="4" t="s">
        <v>24</v>
      </c>
      <c r="D110" s="4" t="s">
        <v>12</v>
      </c>
      <c r="E110" s="5">
        <v>0.9684027692307694</v>
      </c>
      <c r="F110" s="5">
        <v>0</v>
      </c>
      <c r="G110" s="5">
        <v>0</v>
      </c>
      <c r="H110" s="5">
        <v>0</v>
      </c>
      <c r="I110" s="2">
        <f>((F110+G110+H110)*1000)/(E110*10^6)</f>
        <v>0</v>
      </c>
      <c r="J110" s="5">
        <v>1262151.6092307693</v>
      </c>
    </row>
    <row r="111" spans="1:10" ht="13.25" customHeight="1" x14ac:dyDescent="0.2">
      <c r="A111" s="4" t="s">
        <v>14</v>
      </c>
      <c r="B111" s="5">
        <v>2018</v>
      </c>
      <c r="C111" s="4" t="s">
        <v>25</v>
      </c>
      <c r="D111" s="4" t="s">
        <v>12</v>
      </c>
      <c r="E111" s="5">
        <v>1.1298032307692305</v>
      </c>
      <c r="F111" s="5">
        <v>0</v>
      </c>
      <c r="G111" s="5">
        <v>0</v>
      </c>
      <c r="H111" s="5">
        <v>0</v>
      </c>
      <c r="I111" s="2">
        <f>((F111+G111+H111)*1000)/(E111*10^6)</f>
        <v>0</v>
      </c>
      <c r="J111" s="5">
        <v>1472510.2107692305</v>
      </c>
    </row>
    <row r="112" spans="1:10" ht="13.25" customHeight="1" x14ac:dyDescent="0.2">
      <c r="A112" s="4" t="s">
        <v>14</v>
      </c>
      <c r="B112" s="5">
        <v>2018</v>
      </c>
      <c r="C112" s="4" t="s">
        <v>20</v>
      </c>
      <c r="D112" s="4" t="s">
        <v>13</v>
      </c>
      <c r="E112" s="5">
        <v>0.77280599999999999</v>
      </c>
      <c r="F112" s="5">
        <v>13.040245213816936</v>
      </c>
      <c r="G112" s="5">
        <v>684659.43851760007</v>
      </c>
      <c r="H112" s="5">
        <v>20.696857520640005</v>
      </c>
      <c r="I112" s="2">
        <f>((F112+G112+H112)*1000)/(E112*10^6)</f>
        <v>885.98325533230138</v>
      </c>
      <c r="J112" s="5">
        <v>0</v>
      </c>
    </row>
    <row r="113" spans="1:10" ht="13.25" customHeight="1" x14ac:dyDescent="0.2">
      <c r="A113" s="4" t="s">
        <v>21</v>
      </c>
      <c r="B113" s="5">
        <v>2018</v>
      </c>
      <c r="C113" s="4" t="s">
        <v>22</v>
      </c>
      <c r="D113" s="4" t="s">
        <v>12</v>
      </c>
      <c r="E113" s="5">
        <v>14.998614</v>
      </c>
      <c r="F113" s="6"/>
      <c r="G113" s="6"/>
      <c r="H113" s="6"/>
      <c r="I113" s="2">
        <f>((F113+G113+H113)*1000)/(E113*10^6)</f>
        <v>0</v>
      </c>
      <c r="J113" s="5">
        <v>48883128.520158365</v>
      </c>
    </row>
    <row r="114" spans="1:10" ht="13.25" customHeight="1" x14ac:dyDescent="0.2">
      <c r="A114" s="4" t="s">
        <v>21</v>
      </c>
      <c r="B114" s="5">
        <v>2018</v>
      </c>
      <c r="C114" s="4" t="s">
        <v>23</v>
      </c>
      <c r="D114" s="4" t="s">
        <v>12</v>
      </c>
      <c r="E114" s="5">
        <v>52.158000000000001</v>
      </c>
      <c r="F114" s="6"/>
      <c r="G114" s="6"/>
      <c r="H114" s="6"/>
      <c r="I114" s="2">
        <f>((F114+G114+H114)*1000)/(E114*10^6)</f>
        <v>0</v>
      </c>
      <c r="J114" s="5">
        <v>332737120.79493427</v>
      </c>
    </row>
    <row r="115" spans="1:10" ht="13.25" customHeight="1" x14ac:dyDescent="0.2">
      <c r="A115" s="4" t="s">
        <v>26</v>
      </c>
      <c r="B115" s="5">
        <v>2019</v>
      </c>
      <c r="C115" s="4" t="s">
        <v>27</v>
      </c>
      <c r="D115" s="4" t="s">
        <v>12</v>
      </c>
      <c r="E115" s="5">
        <v>0.66473070000002132</v>
      </c>
      <c r="F115" s="5">
        <v>0</v>
      </c>
      <c r="G115" s="5">
        <v>0</v>
      </c>
      <c r="H115" s="5">
        <v>0</v>
      </c>
      <c r="I115" s="2">
        <f>((F115+G115+H115)*1000)/(E115*10^6)</f>
        <v>0</v>
      </c>
      <c r="J115" s="5">
        <v>4085254.7373464964</v>
      </c>
    </row>
    <row r="116" spans="1:10" ht="13.25" customHeight="1" x14ac:dyDescent="0.2">
      <c r="A116" s="4" t="s">
        <v>26</v>
      </c>
      <c r="B116" s="5">
        <v>2019</v>
      </c>
      <c r="C116" s="4" t="s">
        <v>28</v>
      </c>
      <c r="D116" s="4" t="s">
        <v>12</v>
      </c>
      <c r="E116" s="5">
        <v>29.750665560001817</v>
      </c>
      <c r="F116" s="5">
        <v>0</v>
      </c>
      <c r="G116" s="5">
        <v>0</v>
      </c>
      <c r="H116" s="5">
        <v>0</v>
      </c>
      <c r="I116" s="2">
        <f>((F116+G116+H116)*1000)/(E116*10^6)</f>
        <v>0</v>
      </c>
      <c r="J116" s="5">
        <v>71502927.983412758</v>
      </c>
    </row>
    <row r="117" spans="1:10" ht="13.25" customHeight="1" x14ac:dyDescent="0.2">
      <c r="A117" s="4" t="s">
        <v>26</v>
      </c>
      <c r="B117" s="5">
        <v>2019</v>
      </c>
      <c r="C117" s="4" t="s">
        <v>29</v>
      </c>
      <c r="D117" s="4" t="s">
        <v>12</v>
      </c>
      <c r="E117" s="5">
        <v>81.886197219302517</v>
      </c>
      <c r="F117" s="5">
        <v>0</v>
      </c>
      <c r="G117" s="5">
        <v>0</v>
      </c>
      <c r="H117" s="5">
        <v>0</v>
      </c>
      <c r="I117" s="2">
        <f>((F117+G117+H117)*1000)/(E117*10^6)</f>
        <v>0</v>
      </c>
      <c r="J117" s="5">
        <v>204843190.00575897</v>
      </c>
    </row>
    <row r="118" spans="1:10" ht="13.25" customHeight="1" x14ac:dyDescent="0.2">
      <c r="A118" s="4" t="s">
        <v>26</v>
      </c>
      <c r="B118" s="5">
        <v>2019</v>
      </c>
      <c r="C118" s="4" t="s">
        <v>30</v>
      </c>
      <c r="D118" s="4" t="s">
        <v>13</v>
      </c>
      <c r="E118" s="5">
        <v>57.536343153993919</v>
      </c>
      <c r="F118" s="5">
        <v>1033.0293461186</v>
      </c>
      <c r="G118" s="5">
        <v>93083038.34218438</v>
      </c>
      <c r="H118" s="5">
        <v>2813.8462332860045</v>
      </c>
      <c r="I118" s="2">
        <f>((F118+G118+H118)*1000)/(E118*10^6)</f>
        <v>1617.8797628591053</v>
      </c>
      <c r="J118" s="5">
        <v>0</v>
      </c>
    </row>
    <row r="119" spans="1:10" ht="13.25" customHeight="1" x14ac:dyDescent="0.2">
      <c r="A119" s="4" t="s">
        <v>26</v>
      </c>
      <c r="B119" s="5">
        <v>2019</v>
      </c>
      <c r="C119" s="4" t="s">
        <v>31</v>
      </c>
      <c r="D119" s="4" t="s">
        <v>13</v>
      </c>
      <c r="E119" s="5">
        <v>6.8130883200007055</v>
      </c>
      <c r="F119" s="5">
        <v>647.07312634923255</v>
      </c>
      <c r="G119" s="5">
        <v>36237203.264036655</v>
      </c>
      <c r="H119" s="5">
        <v>1095.4296263352514</v>
      </c>
      <c r="I119" s="2">
        <f>((F119+G119+H119)*1000)/(E119*10^6)</f>
        <v>5319.0189330740377</v>
      </c>
      <c r="J119" s="5">
        <v>0</v>
      </c>
    </row>
    <row r="120" spans="1:10" ht="13.25" customHeight="1" x14ac:dyDescent="0.2">
      <c r="A120" s="4" t="s">
        <v>26</v>
      </c>
      <c r="B120" s="5">
        <v>2019</v>
      </c>
      <c r="C120" s="4" t="s">
        <v>32</v>
      </c>
      <c r="D120" s="4" t="s">
        <v>13</v>
      </c>
      <c r="E120" s="5">
        <v>14.706512240000878</v>
      </c>
      <c r="F120" s="5">
        <v>448.19216553602683</v>
      </c>
      <c r="G120" s="5">
        <v>36182973.011622034</v>
      </c>
      <c r="H120" s="5">
        <v>1093.7902772744048</v>
      </c>
      <c r="I120" s="2">
        <f>((F120+G120+H120)*1000)/(E120*10^6)</f>
        <v>2460.4416331728889</v>
      </c>
      <c r="J120" s="5">
        <v>0</v>
      </c>
    </row>
    <row r="121" spans="1:10" ht="13.25" customHeight="1" x14ac:dyDescent="0.2">
      <c r="A121" s="4" t="s">
        <v>26</v>
      </c>
      <c r="B121" s="5">
        <v>2019</v>
      </c>
      <c r="C121" s="4" t="s">
        <v>33</v>
      </c>
      <c r="D121" s="4" t="s">
        <v>13</v>
      </c>
      <c r="E121" s="5">
        <v>2.4049365199995378</v>
      </c>
      <c r="F121" s="5">
        <v>135.31762326093983</v>
      </c>
      <c r="G121" s="5">
        <v>2956374.2163053476</v>
      </c>
      <c r="H121" s="5">
        <v>89.36947698412925</v>
      </c>
      <c r="I121" s="2">
        <f>((F121+G121+H121)*1000)/(E121*10^6)</f>
        <v>1229.3875030872587</v>
      </c>
      <c r="J121" s="5">
        <v>0</v>
      </c>
    </row>
    <row r="122" spans="1:10" ht="13.25" customHeight="1" x14ac:dyDescent="0.2">
      <c r="A122" s="4" t="s">
        <v>26</v>
      </c>
      <c r="B122" s="5">
        <v>2019</v>
      </c>
      <c r="C122" s="4" t="s">
        <v>34</v>
      </c>
      <c r="D122" s="4" t="s">
        <v>13</v>
      </c>
      <c r="E122" s="5">
        <v>2.1178061200000489</v>
      </c>
      <c r="F122" s="5">
        <v>119.16176926197373</v>
      </c>
      <c r="G122" s="5">
        <v>2603406.5166522609</v>
      </c>
      <c r="H122" s="5">
        <v>78.699468249676997</v>
      </c>
      <c r="I122" s="2">
        <f>((F122+G122+H122)*1000)/(E122*10^6)</f>
        <v>1229.3875030872573</v>
      </c>
      <c r="J122" s="5">
        <v>0</v>
      </c>
    </row>
    <row r="123" spans="1:10" ht="13.25" customHeight="1" x14ac:dyDescent="0.2">
      <c r="A123" s="4" t="s">
        <v>26</v>
      </c>
      <c r="B123" s="5">
        <v>2019</v>
      </c>
      <c r="C123" s="4" t="s">
        <v>35</v>
      </c>
      <c r="D123" s="4" t="s">
        <v>13</v>
      </c>
      <c r="E123" s="5">
        <v>6.4306000000000016E-3</v>
      </c>
      <c r="F123" s="5">
        <v>3.1475598210606002</v>
      </c>
      <c r="G123" s="5">
        <v>48782.127848293603</v>
      </c>
      <c r="H123" s="5">
        <v>1.4746554167365409</v>
      </c>
      <c r="I123" s="2">
        <f>((F123+G123+H123)*1000)/(E123*10^6)</f>
        <v>7586.6559984342657</v>
      </c>
      <c r="J123" s="5">
        <v>0</v>
      </c>
    </row>
    <row r="124" spans="1:10" ht="13.25" customHeight="1" x14ac:dyDescent="0.2">
      <c r="A124" s="4" t="s">
        <v>36</v>
      </c>
      <c r="B124" s="5">
        <v>2019</v>
      </c>
      <c r="C124" s="4" t="s">
        <v>11</v>
      </c>
      <c r="D124" s="4" t="s">
        <v>13</v>
      </c>
      <c r="E124" s="5">
        <v>13.135727019487375</v>
      </c>
      <c r="F124" s="5">
        <v>390.51949123543136</v>
      </c>
      <c r="G124" s="5">
        <v>26890882.978795305</v>
      </c>
      <c r="H124" s="5">
        <v>812.89578775305665</v>
      </c>
      <c r="I124" s="2">
        <f>((F124+G124+H124)*1000)/(E124*10^6)</f>
        <v>2047.2476593171289</v>
      </c>
      <c r="J124" s="5">
        <v>0</v>
      </c>
    </row>
    <row r="125" spans="1:10" ht="13.25" customHeight="1" x14ac:dyDescent="0.2">
      <c r="A125" s="4" t="s">
        <v>14</v>
      </c>
      <c r="B125" s="5">
        <v>2019</v>
      </c>
      <c r="C125" s="4" t="s">
        <v>15</v>
      </c>
      <c r="D125" s="4" t="s">
        <v>13</v>
      </c>
      <c r="E125" s="5">
        <v>2.592947047619047</v>
      </c>
      <c r="F125" s="5">
        <v>122.88937663883223</v>
      </c>
      <c r="G125" s="5">
        <v>2636327.051725714</v>
      </c>
      <c r="H125" s="5">
        <v>83.057279829333353</v>
      </c>
      <c r="I125" s="2">
        <f>((F125+G125+H125)*1000)/(E125*10^6)</f>
        <v>1016.8094257085418</v>
      </c>
      <c r="J125" s="5">
        <v>0</v>
      </c>
    </row>
    <row r="126" spans="1:10" ht="13.25" customHeight="1" x14ac:dyDescent="0.2">
      <c r="A126" s="4" t="s">
        <v>14</v>
      </c>
      <c r="B126" s="5">
        <v>2019</v>
      </c>
      <c r="C126" s="4" t="s">
        <v>16</v>
      </c>
      <c r="D126" s="4" t="s">
        <v>13</v>
      </c>
      <c r="E126" s="5">
        <v>3.0292330000000001</v>
      </c>
      <c r="F126" s="5">
        <v>68.615689388193687</v>
      </c>
      <c r="G126" s="5">
        <v>3220460.9667921597</v>
      </c>
      <c r="H126" s="5">
        <v>97.352666202624007</v>
      </c>
      <c r="I126" s="2">
        <f>((F126+G126+H126)*1000)/(E126*10^6)</f>
        <v>1063.1823089038546</v>
      </c>
      <c r="J126" s="5">
        <v>0</v>
      </c>
    </row>
    <row r="127" spans="1:10" ht="13.25" customHeight="1" x14ac:dyDescent="0.2">
      <c r="A127" s="4" t="s">
        <v>14</v>
      </c>
      <c r="B127" s="5">
        <v>2019</v>
      </c>
      <c r="C127" s="4" t="s">
        <v>17</v>
      </c>
      <c r="D127" s="4" t="s">
        <v>13</v>
      </c>
      <c r="E127" s="5">
        <v>17.034711952380952</v>
      </c>
      <c r="F127" s="5">
        <v>131.21826753741891</v>
      </c>
      <c r="G127" s="5">
        <v>18482512.557992786</v>
      </c>
      <c r="H127" s="5">
        <v>564.17992400906678</v>
      </c>
      <c r="I127" s="2">
        <f>((F127+G127+H127)*1000)/(E127*10^6)</f>
        <v>1085.0320221353036</v>
      </c>
      <c r="J127" s="5">
        <v>0</v>
      </c>
    </row>
    <row r="128" spans="1:10" ht="13.25" customHeight="1" x14ac:dyDescent="0.2">
      <c r="A128" s="4" t="s">
        <v>14</v>
      </c>
      <c r="B128" s="5">
        <v>2019</v>
      </c>
      <c r="C128" s="4" t="s">
        <v>19</v>
      </c>
      <c r="D128" s="4" t="s">
        <v>13</v>
      </c>
      <c r="E128" s="5">
        <v>0.75948400000000005</v>
      </c>
      <c r="F128" s="5">
        <v>8.399154143077844</v>
      </c>
      <c r="G128" s="5">
        <v>593697.3098527058</v>
      </c>
      <c r="H128" s="5">
        <v>17.947125156141176</v>
      </c>
      <c r="I128" s="2">
        <f>((F128+G128+H128)*1000)/(E128*10^6)</f>
        <v>781.74610147416547</v>
      </c>
      <c r="J128" s="5">
        <v>0</v>
      </c>
    </row>
    <row r="129" spans="1:10" ht="13.25" customHeight="1" x14ac:dyDescent="0.2">
      <c r="A129" s="4" t="s">
        <v>14</v>
      </c>
      <c r="B129" s="5">
        <v>2019</v>
      </c>
      <c r="C129" s="4" t="s">
        <v>24</v>
      </c>
      <c r="D129" s="4" t="s">
        <v>12</v>
      </c>
      <c r="E129" s="5">
        <v>3.220292769230769</v>
      </c>
      <c r="F129" s="5">
        <v>0</v>
      </c>
      <c r="G129" s="5">
        <v>0</v>
      </c>
      <c r="H129" s="5">
        <v>0</v>
      </c>
      <c r="I129" s="2">
        <f>((F129+G129+H129)*1000)/(E129*10^6)</f>
        <v>0</v>
      </c>
      <c r="J129" s="5">
        <v>4197114.9092307687</v>
      </c>
    </row>
    <row r="130" spans="1:10" ht="13.25" customHeight="1" x14ac:dyDescent="0.2">
      <c r="A130" s="4" t="s">
        <v>14</v>
      </c>
      <c r="B130" s="5">
        <v>2019</v>
      </c>
      <c r="C130" s="4" t="s">
        <v>25</v>
      </c>
      <c r="D130" s="4" t="s">
        <v>12</v>
      </c>
      <c r="E130" s="5">
        <v>3.7570082307692312</v>
      </c>
      <c r="F130" s="5">
        <v>0</v>
      </c>
      <c r="G130" s="5">
        <v>0</v>
      </c>
      <c r="H130" s="5">
        <v>0</v>
      </c>
      <c r="I130" s="2">
        <f>((F130+G130+H130)*1000)/(E130*10^6)</f>
        <v>0</v>
      </c>
      <c r="J130" s="5">
        <v>4896634.0607692311</v>
      </c>
    </row>
    <row r="131" spans="1:10" ht="13.25" customHeight="1" x14ac:dyDescent="0.2">
      <c r="A131" s="4" t="s">
        <v>14</v>
      </c>
      <c r="B131" s="5">
        <v>2019</v>
      </c>
      <c r="C131" s="4" t="s">
        <v>20</v>
      </c>
      <c r="D131" s="4" t="s">
        <v>13</v>
      </c>
      <c r="E131" s="5">
        <v>0.79659999999999997</v>
      </c>
      <c r="F131" s="5">
        <v>13.441742607234637</v>
      </c>
      <c r="G131" s="5">
        <v>705739.48535999982</v>
      </c>
      <c r="H131" s="5">
        <v>21.334095103999999</v>
      </c>
      <c r="I131" s="2">
        <f>((F131+G131+H131)*1000)/(E131*10^6)</f>
        <v>885.98325533230116</v>
      </c>
      <c r="J131" s="5">
        <v>0</v>
      </c>
    </row>
    <row r="132" spans="1:10" ht="13.25" customHeight="1" x14ac:dyDescent="0.2">
      <c r="A132" s="4" t="s">
        <v>21</v>
      </c>
      <c r="B132" s="5">
        <v>2019</v>
      </c>
      <c r="C132" s="4" t="s">
        <v>22</v>
      </c>
      <c r="D132" s="4" t="s">
        <v>12</v>
      </c>
      <c r="E132" s="5">
        <v>15.55368</v>
      </c>
      <c r="F132" s="6"/>
      <c r="G132" s="6"/>
      <c r="H132" s="6"/>
      <c r="I132" s="2">
        <f>((F132+G132+H132)*1000)/(E132*10^6)</f>
        <v>0</v>
      </c>
      <c r="J132" s="5">
        <v>50692186.518128723</v>
      </c>
    </row>
    <row r="133" spans="1:10" ht="13.25" customHeight="1" x14ac:dyDescent="0.2">
      <c r="A133" s="4" t="s">
        <v>21</v>
      </c>
      <c r="B133" s="5">
        <v>2019</v>
      </c>
      <c r="C133" s="4" t="s">
        <v>37</v>
      </c>
      <c r="D133" s="4" t="s">
        <v>12</v>
      </c>
      <c r="E133" s="5">
        <v>3.0588779999999995</v>
      </c>
      <c r="F133" s="6"/>
      <c r="G133" s="6"/>
      <c r="H133" s="6"/>
      <c r="I133" s="2">
        <f>((F133+G133+H133)*1000)/(E133*10^6)</f>
        <v>0</v>
      </c>
      <c r="J133" s="5">
        <v>15377943.416597962</v>
      </c>
    </row>
    <row r="134" spans="1:10" ht="13.25" customHeight="1" x14ac:dyDescent="0.2">
      <c r="A134" s="4" t="s">
        <v>21</v>
      </c>
      <c r="B134" s="5">
        <v>2019</v>
      </c>
      <c r="C134" s="4" t="s">
        <v>23</v>
      </c>
      <c r="D134" s="4" t="s">
        <v>12</v>
      </c>
      <c r="E134" s="5">
        <v>53.924999999999997</v>
      </c>
      <c r="F134" s="6"/>
      <c r="G134" s="6"/>
      <c r="H134" s="6"/>
      <c r="I134" s="2">
        <f>((F134+G134+H134)*1000)/(E134*10^6)</f>
        <v>0</v>
      </c>
      <c r="J134" s="5">
        <v>344009533.31927657</v>
      </c>
    </row>
    <row r="135" spans="1:10" ht="13.25" customHeight="1" x14ac:dyDescent="0.2">
      <c r="A135" s="4" t="s">
        <v>26</v>
      </c>
      <c r="B135" s="5">
        <v>2020</v>
      </c>
      <c r="C135" s="4" t="s">
        <v>27</v>
      </c>
      <c r="D135" s="4" t="s">
        <v>12</v>
      </c>
      <c r="E135" s="5">
        <v>0.37155480000000568</v>
      </c>
      <c r="F135" s="5">
        <v>0</v>
      </c>
      <c r="G135" s="5">
        <v>0</v>
      </c>
      <c r="H135" s="5">
        <v>0</v>
      </c>
      <c r="I135" s="2">
        <f>((F135+G135+H135)*1000)/(E135*10^6)</f>
        <v>0</v>
      </c>
      <c r="J135" s="5">
        <v>2283475.107865192</v>
      </c>
    </row>
    <row r="136" spans="1:10" ht="13.25" customHeight="1" x14ac:dyDescent="0.2">
      <c r="A136" s="4" t="s">
        <v>26</v>
      </c>
      <c r="B136" s="5">
        <v>2020</v>
      </c>
      <c r="C136" s="4" t="s">
        <v>38</v>
      </c>
      <c r="D136" s="4" t="s">
        <v>12</v>
      </c>
      <c r="E136" s="5">
        <v>0.14193719999999954</v>
      </c>
      <c r="F136" s="5">
        <v>0</v>
      </c>
      <c r="G136" s="5">
        <v>0</v>
      </c>
      <c r="H136" s="5">
        <v>0</v>
      </c>
      <c r="I136" s="2">
        <f>((F136+G136+H136)*1000)/(E136*10^6)</f>
        <v>0</v>
      </c>
      <c r="J136" s="5">
        <v>0</v>
      </c>
    </row>
    <row r="137" spans="1:10" ht="13.25" customHeight="1" x14ac:dyDescent="0.2">
      <c r="A137" s="4" t="s">
        <v>26</v>
      </c>
      <c r="B137" s="5">
        <v>2020</v>
      </c>
      <c r="C137" s="4" t="s">
        <v>28</v>
      </c>
      <c r="D137" s="4" t="s">
        <v>12</v>
      </c>
      <c r="E137" s="5">
        <v>32.33494326000109</v>
      </c>
      <c r="F137" s="5">
        <v>0</v>
      </c>
      <c r="G137" s="5">
        <v>0</v>
      </c>
      <c r="H137" s="5">
        <v>0</v>
      </c>
      <c r="I137" s="2">
        <f>((F137+G137+H137)*1000)/(E137*10^6)</f>
        <v>0</v>
      </c>
      <c r="J137" s="5">
        <v>77713996.50218311</v>
      </c>
    </row>
    <row r="138" spans="1:10" ht="13.25" customHeight="1" x14ac:dyDescent="0.2">
      <c r="A138" s="4" t="s">
        <v>26</v>
      </c>
      <c r="B138" s="5">
        <v>2020</v>
      </c>
      <c r="C138" s="4" t="s">
        <v>29</v>
      </c>
      <c r="D138" s="4" t="s">
        <v>12</v>
      </c>
      <c r="E138" s="5">
        <v>78.029785758316834</v>
      </c>
      <c r="F138" s="5">
        <v>0</v>
      </c>
      <c r="G138" s="5">
        <v>0</v>
      </c>
      <c r="H138" s="5">
        <v>0</v>
      </c>
      <c r="I138" s="2">
        <f>((F138+G138+H138)*1000)/(E138*10^6)</f>
        <v>0</v>
      </c>
      <c r="J138" s="5">
        <v>195196147.49470606</v>
      </c>
    </row>
    <row r="139" spans="1:10" ht="13.25" customHeight="1" x14ac:dyDescent="0.2">
      <c r="A139" s="4" t="s">
        <v>26</v>
      </c>
      <c r="B139" s="5">
        <v>2020</v>
      </c>
      <c r="C139" s="4" t="s">
        <v>30</v>
      </c>
      <c r="D139" s="4" t="s">
        <v>13</v>
      </c>
      <c r="E139" s="5">
        <v>55.24341245999257</v>
      </c>
      <c r="F139" s="5">
        <v>991.86119802862424</v>
      </c>
      <c r="G139" s="5">
        <v>89373505.479895115</v>
      </c>
      <c r="H139" s="5">
        <v>2701.7092074894103</v>
      </c>
      <c r="I139" s="2">
        <f>((F139+G139+H139)*1000)/(E139*10^6)</f>
        <v>1617.8797628591071</v>
      </c>
      <c r="J139" s="5">
        <v>0</v>
      </c>
    </row>
    <row r="140" spans="1:10" ht="13.25" customHeight="1" x14ac:dyDescent="0.2">
      <c r="A140" s="4" t="s">
        <v>26</v>
      </c>
      <c r="B140" s="5">
        <v>2020</v>
      </c>
      <c r="C140" s="4" t="s">
        <v>31</v>
      </c>
      <c r="D140" s="4" t="s">
        <v>13</v>
      </c>
      <c r="E140" s="5">
        <v>7.0919999599994314</v>
      </c>
      <c r="F140" s="5">
        <v>673.56276194361567</v>
      </c>
      <c r="G140" s="5">
        <v>37720668.223924123</v>
      </c>
      <c r="H140" s="5">
        <v>1140.2739112225379</v>
      </c>
      <c r="I140" s="2">
        <f>((F140+G140+H140)*1000)/(E140*10^6)</f>
        <v>5319.0189330740359</v>
      </c>
      <c r="J140" s="5">
        <v>0</v>
      </c>
    </row>
    <row r="141" spans="1:10" ht="13.25" customHeight="1" x14ac:dyDescent="0.2">
      <c r="A141" s="4" t="s">
        <v>26</v>
      </c>
      <c r="B141" s="5">
        <v>2020</v>
      </c>
      <c r="C141" s="4" t="s">
        <v>32</v>
      </c>
      <c r="D141" s="4" t="s">
        <v>13</v>
      </c>
      <c r="E141" s="5">
        <v>14.605300000000984</v>
      </c>
      <c r="F141" s="5">
        <v>445.10764540752706</v>
      </c>
      <c r="G141" s="5">
        <v>35933956.814674862</v>
      </c>
      <c r="H141" s="5">
        <v>1086.2626621440193</v>
      </c>
      <c r="I141" s="2">
        <f>((F141+G141+H141)*1000)/(E141*10^6)</f>
        <v>2460.4416331728889</v>
      </c>
      <c r="J141" s="5">
        <v>0</v>
      </c>
    </row>
    <row r="142" spans="1:10" ht="13.25" customHeight="1" x14ac:dyDescent="0.2">
      <c r="A142" s="4" t="s">
        <v>26</v>
      </c>
      <c r="B142" s="5">
        <v>2020</v>
      </c>
      <c r="C142" s="4" t="s">
        <v>33</v>
      </c>
      <c r="D142" s="4" t="s">
        <v>13</v>
      </c>
      <c r="E142" s="5">
        <v>2.2995558399998313</v>
      </c>
      <c r="F142" s="5">
        <v>129.388209724825</v>
      </c>
      <c r="G142" s="5">
        <v>2826830.3706956832</v>
      </c>
      <c r="H142" s="5">
        <v>85.453441705240678</v>
      </c>
      <c r="I142" s="2">
        <f>((F142+G142+H142)*1000)/(E142*10^6)</f>
        <v>1229.3875030872573</v>
      </c>
      <c r="J142" s="5">
        <v>0</v>
      </c>
    </row>
    <row r="143" spans="1:10" ht="13.25" customHeight="1" x14ac:dyDescent="0.2">
      <c r="A143" s="4" t="s">
        <v>26</v>
      </c>
      <c r="B143" s="5">
        <v>2020</v>
      </c>
      <c r="C143" s="4" t="s">
        <v>34</v>
      </c>
      <c r="D143" s="4" t="s">
        <v>13</v>
      </c>
      <c r="E143" s="5">
        <v>2.2827171599999705</v>
      </c>
      <c r="F143" s="5">
        <v>128.44075429825375</v>
      </c>
      <c r="G143" s="5">
        <v>2806130.6811303962</v>
      </c>
      <c r="H143" s="5">
        <v>84.82770210164766</v>
      </c>
      <c r="I143" s="2">
        <f>((F143+G143+H143)*1000)/(E143*10^6)</f>
        <v>1229.3875030872562</v>
      </c>
      <c r="J143" s="5">
        <v>0</v>
      </c>
    </row>
    <row r="144" spans="1:10" ht="13.25" customHeight="1" x14ac:dyDescent="0.2">
      <c r="A144" s="4" t="s">
        <v>36</v>
      </c>
      <c r="B144" s="5">
        <v>2020</v>
      </c>
      <c r="C144" s="4" t="s">
        <v>11</v>
      </c>
      <c r="D144" s="4" t="s">
        <v>13</v>
      </c>
      <c r="E144" s="5">
        <v>1.5921474077654978</v>
      </c>
      <c r="F144" s="5">
        <v>46.94536755970794</v>
      </c>
      <c r="G144" s="5">
        <v>3293958.3646396883</v>
      </c>
      <c r="H144" s="5">
        <v>99.574449889242956</v>
      </c>
      <c r="I144" s="2">
        <f>((F144+G144+H144)*1000)/(E144*10^6)</f>
        <v>2068.9697878416014</v>
      </c>
      <c r="J144" s="5">
        <v>0</v>
      </c>
    </row>
    <row r="145" spans="1:10" ht="13.25" customHeight="1" x14ac:dyDescent="0.2">
      <c r="A145" s="4" t="s">
        <v>14</v>
      </c>
      <c r="B145" s="5">
        <v>2020</v>
      </c>
      <c r="C145" s="4" t="s">
        <v>15</v>
      </c>
      <c r="D145" s="4" t="s">
        <v>13</v>
      </c>
      <c r="E145" s="5">
        <v>2.3614373333333329</v>
      </c>
      <c r="F145" s="5">
        <v>111.40624181618558</v>
      </c>
      <c r="G145" s="5">
        <v>2391176.7528480003</v>
      </c>
      <c r="H145" s="5">
        <v>75.249448840533347</v>
      </c>
      <c r="I145" s="2">
        <f>((F145+G145+H145)*1000)/(E145*10^6)</f>
        <v>1012.6728220914001</v>
      </c>
      <c r="J145" s="5">
        <v>0</v>
      </c>
    </row>
    <row r="146" spans="1:10" ht="13.25" customHeight="1" x14ac:dyDescent="0.2">
      <c r="A146" s="4" t="s">
        <v>14</v>
      </c>
      <c r="B146" s="5">
        <v>2020</v>
      </c>
      <c r="C146" s="4" t="s">
        <v>16</v>
      </c>
      <c r="D146" s="4" t="s">
        <v>13</v>
      </c>
      <c r="E146" s="5">
        <v>3.0418845000000001</v>
      </c>
      <c r="F146" s="5">
        <v>68.902260739520813</v>
      </c>
      <c r="G146" s="5">
        <v>3233911.1246114401</v>
      </c>
      <c r="H146" s="5">
        <v>97.759256668416029</v>
      </c>
      <c r="I146" s="2">
        <f>((F146+G146+H146)*1000)/(E146*10^6)</f>
        <v>1063.1823089038548</v>
      </c>
      <c r="J146" s="5">
        <v>0</v>
      </c>
    </row>
    <row r="147" spans="1:10" ht="13.25" customHeight="1" x14ac:dyDescent="0.2">
      <c r="A147" s="4" t="s">
        <v>14</v>
      </c>
      <c r="B147" s="5">
        <v>2020</v>
      </c>
      <c r="C147" s="4" t="s">
        <v>17</v>
      </c>
      <c r="D147" s="4" t="s">
        <v>13</v>
      </c>
      <c r="E147" s="5">
        <v>16.143534566666666</v>
      </c>
      <c r="F147" s="5">
        <v>124.49455684690076</v>
      </c>
      <c r="G147" s="5">
        <v>17540726.687150549</v>
      </c>
      <c r="H147" s="5">
        <v>535.0650291141867</v>
      </c>
      <c r="I147" s="2">
        <f>((F147+G147+H147)*1000)/(E147*10^6)</f>
        <v>1086.5889483060384</v>
      </c>
      <c r="J147" s="5">
        <v>0</v>
      </c>
    </row>
    <row r="148" spans="1:10" ht="13.25" customHeight="1" x14ac:dyDescent="0.2">
      <c r="A148" s="4" t="s">
        <v>14</v>
      </c>
      <c r="B148" s="5">
        <v>2020</v>
      </c>
      <c r="C148" s="4" t="s">
        <v>19</v>
      </c>
      <c r="D148" s="4" t="s">
        <v>13</v>
      </c>
      <c r="E148" s="5">
        <v>0.76351599999999997</v>
      </c>
      <c r="F148" s="5">
        <v>8.4437441403719138</v>
      </c>
      <c r="G148" s="5">
        <v>596849.17026494117</v>
      </c>
      <c r="H148" s="5">
        <v>18.042404067388237</v>
      </c>
      <c r="I148" s="2">
        <f>((F148+G148+H148)*1000)/(E148*10^6)</f>
        <v>781.74610147416536</v>
      </c>
      <c r="J148" s="5">
        <v>0</v>
      </c>
    </row>
    <row r="149" spans="1:10" ht="13.25" customHeight="1" x14ac:dyDescent="0.2">
      <c r="A149" s="4" t="s">
        <v>14</v>
      </c>
      <c r="B149" s="5">
        <v>2020</v>
      </c>
      <c r="C149" s="4" t="s">
        <v>24</v>
      </c>
      <c r="D149" s="4" t="s">
        <v>12</v>
      </c>
      <c r="E149" s="5">
        <v>3.8142207692307699</v>
      </c>
      <c r="F149" s="5">
        <v>0</v>
      </c>
      <c r="G149" s="5">
        <v>0</v>
      </c>
      <c r="H149" s="5">
        <v>0</v>
      </c>
      <c r="I149" s="2">
        <f>((F149+G149+H149)*1000)/(E149*10^6)</f>
        <v>0</v>
      </c>
      <c r="J149" s="5">
        <v>4971201.0692307698</v>
      </c>
    </row>
    <row r="150" spans="1:10" ht="13.25" customHeight="1" x14ac:dyDescent="0.2">
      <c r="A150" s="4" t="s">
        <v>14</v>
      </c>
      <c r="B150" s="5">
        <v>2020</v>
      </c>
      <c r="C150" s="4" t="s">
        <v>25</v>
      </c>
      <c r="D150" s="4" t="s">
        <v>12</v>
      </c>
      <c r="E150" s="5">
        <v>4.4499242307692297</v>
      </c>
      <c r="F150" s="5">
        <v>0</v>
      </c>
      <c r="G150" s="5">
        <v>0</v>
      </c>
      <c r="H150" s="5">
        <v>0</v>
      </c>
      <c r="I150" s="2">
        <f>((F150+G150+H150)*1000)/(E150*10^6)</f>
        <v>0</v>
      </c>
      <c r="J150" s="5">
        <v>5799734.5807692297</v>
      </c>
    </row>
    <row r="151" spans="1:10" ht="13.25" customHeight="1" x14ac:dyDescent="0.2">
      <c r="A151" s="4" t="s">
        <v>14</v>
      </c>
      <c r="B151" s="5">
        <v>2020</v>
      </c>
      <c r="C151" s="4" t="s">
        <v>20</v>
      </c>
      <c r="D151" s="4" t="s">
        <v>13</v>
      </c>
      <c r="E151" s="5">
        <v>0.78900000000000003</v>
      </c>
      <c r="F151" s="5">
        <v>13.313501025744575</v>
      </c>
      <c r="G151" s="5">
        <v>699006.34439999994</v>
      </c>
      <c r="H151" s="5">
        <v>21.130556160000001</v>
      </c>
      <c r="I151" s="2">
        <f>((F151+G151+H151)*1000)/(E151*10^6)</f>
        <v>885.98325533230127</v>
      </c>
      <c r="J151" s="5">
        <v>0</v>
      </c>
    </row>
    <row r="152" spans="1:10" ht="13.25" customHeight="1" x14ac:dyDescent="0.2">
      <c r="A152" s="4" t="s">
        <v>21</v>
      </c>
      <c r="B152" s="5">
        <v>2020</v>
      </c>
      <c r="C152" s="4" t="s">
        <v>22</v>
      </c>
      <c r="D152" s="4" t="s">
        <v>12</v>
      </c>
      <c r="E152" s="5">
        <v>15.747627</v>
      </c>
      <c r="F152" s="6"/>
      <c r="G152" s="6"/>
      <c r="H152" s="6"/>
      <c r="I152" s="2">
        <f>((F152+G152+H152)*1000)/(E152*10^6)</f>
        <v>0</v>
      </c>
      <c r="J152" s="5">
        <v>51324294</v>
      </c>
    </row>
    <row r="153" spans="1:10" ht="13.25" customHeight="1" x14ac:dyDescent="0.2">
      <c r="A153" s="4" t="s">
        <v>21</v>
      </c>
      <c r="B153" s="5">
        <v>2020</v>
      </c>
      <c r="C153" s="4" t="s">
        <v>37</v>
      </c>
      <c r="D153" s="4" t="s">
        <v>12</v>
      </c>
      <c r="E153" s="5">
        <v>13.376580000000001</v>
      </c>
      <c r="F153" s="6"/>
      <c r="G153" s="6"/>
      <c r="H153" s="6"/>
      <c r="I153" s="2">
        <f>((F153+G153+H153)*1000)/(E153*10^6)</f>
        <v>0</v>
      </c>
      <c r="J153" s="5">
        <v>67248282</v>
      </c>
    </row>
    <row r="154" spans="1:10" ht="13.25" customHeight="1" x14ac:dyDescent="0.2">
      <c r="A154" s="4" t="s">
        <v>21</v>
      </c>
      <c r="B154" s="5">
        <v>2020</v>
      </c>
      <c r="C154" s="4" t="s">
        <v>23</v>
      </c>
      <c r="D154" s="4" t="s">
        <v>12</v>
      </c>
      <c r="E154" s="5">
        <v>55.481999999999999</v>
      </c>
      <c r="F154" s="6"/>
      <c r="G154" s="6"/>
      <c r="H154" s="6"/>
      <c r="I154" s="2">
        <f>((F154+G154+H154)*1000)/(E154*10^6)</f>
        <v>0</v>
      </c>
      <c r="J154" s="5">
        <v>353942270.33138812</v>
      </c>
    </row>
    <row r="155" spans="1:10" ht="13.25" customHeight="1" x14ac:dyDescent="0.2">
      <c r="A155" s="4" t="s">
        <v>26</v>
      </c>
      <c r="B155" s="5">
        <v>2021</v>
      </c>
      <c r="C155" s="4" t="s">
        <v>27</v>
      </c>
      <c r="D155" s="4" t="s">
        <v>12</v>
      </c>
      <c r="E155" s="5">
        <v>1.0907399999999994E-2</v>
      </c>
      <c r="F155" s="5">
        <v>0</v>
      </c>
      <c r="G155" s="5">
        <v>0</v>
      </c>
      <c r="H155" s="5">
        <v>0</v>
      </c>
      <c r="I155" s="2">
        <f>((F155+G155+H155)*1000)/(E155*10^6)</f>
        <v>0</v>
      </c>
      <c r="J155" s="5">
        <v>67033.924448098696</v>
      </c>
    </row>
    <row r="156" spans="1:10" ht="13.25" customHeight="1" x14ac:dyDescent="0.2">
      <c r="A156" s="4" t="s">
        <v>26</v>
      </c>
      <c r="B156" s="5">
        <v>2021</v>
      </c>
      <c r="C156" s="4" t="s">
        <v>38</v>
      </c>
      <c r="D156" s="4" t="s">
        <v>12</v>
      </c>
      <c r="E156" s="5">
        <v>4.0779160799997474</v>
      </c>
      <c r="F156" s="5">
        <v>0</v>
      </c>
      <c r="G156" s="5">
        <v>0</v>
      </c>
      <c r="H156" s="5">
        <v>0</v>
      </c>
      <c r="I156" s="2">
        <f>((F156+G156+H156)*1000)/(E156*10^6)</f>
        <v>0</v>
      </c>
      <c r="J156" s="5">
        <v>0</v>
      </c>
    </row>
    <row r="157" spans="1:10" ht="13.25" customHeight="1" x14ac:dyDescent="0.2">
      <c r="A157" s="4" t="s">
        <v>26</v>
      </c>
      <c r="B157" s="5">
        <v>2021</v>
      </c>
      <c r="C157" s="4" t="s">
        <v>28</v>
      </c>
      <c r="D157" s="4" t="s">
        <v>12</v>
      </c>
      <c r="E157" s="5">
        <v>33.547627439998777</v>
      </c>
      <c r="F157" s="5">
        <v>0</v>
      </c>
      <c r="G157" s="5">
        <v>0</v>
      </c>
      <c r="H157" s="5">
        <v>0</v>
      </c>
      <c r="I157" s="2">
        <f>((F157+G157+H157)*1000)/(E157*10^6)</f>
        <v>0</v>
      </c>
      <c r="J157" s="5">
        <v>80628568.931297928</v>
      </c>
    </row>
    <row r="158" spans="1:10" ht="13.25" customHeight="1" x14ac:dyDescent="0.2">
      <c r="A158" s="4" t="s">
        <v>26</v>
      </c>
      <c r="B158" s="5">
        <v>2021</v>
      </c>
      <c r="C158" s="4" t="s">
        <v>29</v>
      </c>
      <c r="D158" s="4" t="s">
        <v>12</v>
      </c>
      <c r="E158" s="5">
        <v>74.771357163096724</v>
      </c>
      <c r="F158" s="5">
        <v>0</v>
      </c>
      <c r="G158" s="5">
        <v>0</v>
      </c>
      <c r="H158" s="5">
        <v>0</v>
      </c>
      <c r="I158" s="2">
        <f>((F158+G158+H158)*1000)/(E158*10^6)</f>
        <v>0</v>
      </c>
      <c r="J158" s="5">
        <v>187044994.66899458</v>
      </c>
    </row>
    <row r="159" spans="1:10" ht="13.25" customHeight="1" x14ac:dyDescent="0.2">
      <c r="A159" s="4" t="s">
        <v>26</v>
      </c>
      <c r="B159" s="5">
        <v>2021</v>
      </c>
      <c r="C159" s="4" t="s">
        <v>30</v>
      </c>
      <c r="D159" s="4" t="s">
        <v>13</v>
      </c>
      <c r="E159" s="5">
        <v>56.743534895991417</v>
      </c>
      <c r="F159" s="5">
        <v>1018.7949656997797</v>
      </c>
      <c r="G159" s="5">
        <v>91800422.912834957</v>
      </c>
      <c r="H159" s="5">
        <v>2775.0735131545298</v>
      </c>
      <c r="I159" s="2">
        <f>((F159+G159+H159)*1000)/(E159*10^6)</f>
        <v>1617.8797628591028</v>
      </c>
      <c r="J159" s="5">
        <v>0</v>
      </c>
    </row>
    <row r="160" spans="1:10" ht="13.25" customHeight="1" x14ac:dyDescent="0.2">
      <c r="A160" s="4" t="s">
        <v>26</v>
      </c>
      <c r="B160" s="5">
        <v>2021</v>
      </c>
      <c r="C160" s="4" t="s">
        <v>31</v>
      </c>
      <c r="D160" s="4" t="s">
        <v>13</v>
      </c>
      <c r="E160" s="5">
        <v>3.8102553599999682</v>
      </c>
      <c r="F160" s="5">
        <v>361.87903813697307</v>
      </c>
      <c r="G160" s="5">
        <v>20265845.895887297</v>
      </c>
      <c r="H160" s="5">
        <v>612.62476122520309</v>
      </c>
      <c r="I160" s="2">
        <f>((F160+G160+H160)*1000)/(E160*10^6)</f>
        <v>5319.0189330740359</v>
      </c>
      <c r="J160" s="5">
        <v>0</v>
      </c>
    </row>
    <row r="161" spans="1:10" ht="13.25" customHeight="1" x14ac:dyDescent="0.2">
      <c r="A161" s="4" t="s">
        <v>26</v>
      </c>
      <c r="B161" s="5">
        <v>2021</v>
      </c>
      <c r="C161" s="4" t="s">
        <v>32</v>
      </c>
      <c r="D161" s="4" t="s">
        <v>13</v>
      </c>
      <c r="E161" s="5">
        <v>12.490292999999829</v>
      </c>
      <c r="F161" s="5">
        <v>380.65119563991664</v>
      </c>
      <c r="G161" s="5">
        <v>30730327.29657039</v>
      </c>
      <c r="H161" s="5">
        <v>928.95996146177708</v>
      </c>
      <c r="I161" s="2">
        <f>((F161+G161+H161)*1000)/(E161*10^6)</f>
        <v>2460.4416331728899</v>
      </c>
      <c r="J161" s="5">
        <v>0</v>
      </c>
    </row>
    <row r="162" spans="1:10" ht="13.25" customHeight="1" x14ac:dyDescent="0.2">
      <c r="A162" s="4" t="s">
        <v>36</v>
      </c>
      <c r="B162" s="5">
        <v>2021</v>
      </c>
      <c r="C162" s="4" t="s">
        <v>11</v>
      </c>
      <c r="D162" s="4" t="s">
        <v>13</v>
      </c>
      <c r="E162" s="5">
        <v>7.3062928256673647</v>
      </c>
      <c r="F162" s="5">
        <v>175.70660965601166</v>
      </c>
      <c r="G162" s="5">
        <v>14283343.689829195</v>
      </c>
      <c r="H162" s="5">
        <v>431.77719116352773</v>
      </c>
      <c r="I162" s="2">
        <f>((F162+G162+H162)*1000)/(E162*10^6)</f>
        <v>1955.0203522434517</v>
      </c>
      <c r="J162" s="5">
        <v>0</v>
      </c>
    </row>
    <row r="163" spans="1:10" ht="13.25" customHeight="1" x14ac:dyDescent="0.2">
      <c r="A163" s="4" t="s">
        <v>14</v>
      </c>
      <c r="B163" s="5">
        <v>2021</v>
      </c>
      <c r="C163" s="4" t="s">
        <v>15</v>
      </c>
      <c r="D163" s="4" t="s">
        <v>13</v>
      </c>
      <c r="E163" s="5">
        <v>3.6609489599999998</v>
      </c>
      <c r="F163" s="5">
        <v>163.14269573121527</v>
      </c>
      <c r="G163" s="5">
        <v>3524121.8995631998</v>
      </c>
      <c r="H163" s="5">
        <v>109.31583799808004</v>
      </c>
      <c r="I163" s="2">
        <f>((F163+G163+H163)*1000)/(E163*10^6)</f>
        <v>962.69967066050788</v>
      </c>
      <c r="J163" s="5">
        <v>0</v>
      </c>
    </row>
    <row r="164" spans="1:10" ht="13.25" customHeight="1" x14ac:dyDescent="0.2">
      <c r="A164" s="4" t="s">
        <v>14</v>
      </c>
      <c r="B164" s="5">
        <v>2021</v>
      </c>
      <c r="C164" s="4" t="s">
        <v>16</v>
      </c>
      <c r="D164" s="4" t="s">
        <v>13</v>
      </c>
      <c r="E164" s="5">
        <v>3.0226332500000002</v>
      </c>
      <c r="F164" s="5">
        <v>68.466197290345903</v>
      </c>
      <c r="G164" s="5">
        <v>3213444.5909420401</v>
      </c>
      <c r="H164" s="5">
        <v>97.140565232256009</v>
      </c>
      <c r="I164" s="2">
        <f>((F164+G164+H164)*1000)/(E164*10^6)</f>
        <v>1063.1823089038551</v>
      </c>
      <c r="J164" s="5">
        <v>0</v>
      </c>
    </row>
    <row r="165" spans="1:10" ht="13.25" customHeight="1" x14ac:dyDescent="0.2">
      <c r="A165" s="4" t="s">
        <v>14</v>
      </c>
      <c r="B165" s="5">
        <v>2021</v>
      </c>
      <c r="C165" s="4" t="s">
        <v>17</v>
      </c>
      <c r="D165" s="4" t="s">
        <v>13</v>
      </c>
      <c r="E165" s="5">
        <v>17.867508389999809</v>
      </c>
      <c r="F165" s="5">
        <v>137.56113826159003</v>
      </c>
      <c r="G165" s="5">
        <v>19373229.63259007</v>
      </c>
      <c r="H165" s="5">
        <v>591.55680534215378</v>
      </c>
      <c r="I165" s="2">
        <f>((F165+G165+H165)*1000)/(E165*10^6)</f>
        <v>1084.3122794545322</v>
      </c>
      <c r="J165" s="5">
        <v>0</v>
      </c>
    </row>
    <row r="166" spans="1:10" ht="13.25" customHeight="1" x14ac:dyDescent="0.2">
      <c r="A166" s="4" t="s">
        <v>14</v>
      </c>
      <c r="B166" s="5">
        <v>2021</v>
      </c>
      <c r="C166" s="4" t="s">
        <v>19</v>
      </c>
      <c r="D166" s="4" t="s">
        <v>13</v>
      </c>
      <c r="E166" s="5">
        <v>0.75863999999999998</v>
      </c>
      <c r="F166" s="5">
        <v>8.3898203241998175</v>
      </c>
      <c r="G166" s="5">
        <v>593037.54542117636</v>
      </c>
      <c r="H166" s="5">
        <v>17.927180860235293</v>
      </c>
      <c r="I166" s="2">
        <f>((F166+G166+H166)*1000)/(E166*10^6)</f>
        <v>781.74610147416536</v>
      </c>
      <c r="J166" s="5">
        <v>0</v>
      </c>
    </row>
    <row r="167" spans="1:10" ht="13.25" customHeight="1" x14ac:dyDescent="0.2">
      <c r="A167" s="4" t="s">
        <v>14</v>
      </c>
      <c r="B167" s="5">
        <v>2021</v>
      </c>
      <c r="C167" s="4" t="s">
        <v>24</v>
      </c>
      <c r="D167" s="4" t="s">
        <v>12</v>
      </c>
      <c r="E167" s="5">
        <v>3.9383072307692299</v>
      </c>
      <c r="F167" s="8">
        <v>0</v>
      </c>
      <c r="G167" s="8">
        <v>0</v>
      </c>
      <c r="H167" s="8">
        <v>0</v>
      </c>
      <c r="I167" s="2">
        <f>((F167+G167+H167)*1000)/(E167*10^6)</f>
        <v>0</v>
      </c>
      <c r="J167" s="5">
        <v>5132927.0907692295</v>
      </c>
    </row>
    <row r="168" spans="1:10" ht="13.25" customHeight="1" x14ac:dyDescent="0.2">
      <c r="A168" s="4" t="s">
        <v>14</v>
      </c>
      <c r="B168" s="5">
        <v>2021</v>
      </c>
      <c r="C168" s="4" t="s">
        <v>25</v>
      </c>
      <c r="D168" s="4" t="s">
        <v>12</v>
      </c>
      <c r="E168" s="5">
        <v>4.5946917692307689</v>
      </c>
      <c r="F168" s="8">
        <v>0</v>
      </c>
      <c r="G168" s="8">
        <v>0</v>
      </c>
      <c r="H168" s="8">
        <v>0</v>
      </c>
      <c r="I168" s="2">
        <f>((F168+G168+H168)*1000)/(E168*10^6)</f>
        <v>0</v>
      </c>
      <c r="J168" s="5">
        <v>5988414.9392307689</v>
      </c>
    </row>
    <row r="169" spans="1:10" ht="13.25" customHeight="1" x14ac:dyDescent="0.2">
      <c r="A169" s="4" t="s">
        <v>14</v>
      </c>
      <c r="B169" s="5">
        <v>2021</v>
      </c>
      <c r="C169" s="4" t="s">
        <v>20</v>
      </c>
      <c r="D169" s="4" t="s">
        <v>13</v>
      </c>
      <c r="E169" s="5">
        <v>0.77544599999999997</v>
      </c>
      <c r="F169" s="8">
        <v>13.08479228949243</v>
      </c>
      <c r="G169" s="8">
        <v>686998.3190615999</v>
      </c>
      <c r="H169" s="8">
        <v>20.76756052224</v>
      </c>
      <c r="I169" s="2">
        <f>((F169+G169+H169)*1000)/(E169*10^6)</f>
        <v>885.98325533230127</v>
      </c>
      <c r="J169" s="5">
        <v>0</v>
      </c>
    </row>
    <row r="170" spans="1:10" ht="13.25" customHeight="1" x14ac:dyDescent="0.2">
      <c r="A170" s="4" t="s">
        <v>21</v>
      </c>
      <c r="B170" s="5">
        <v>2021</v>
      </c>
      <c r="C170" s="4" t="s">
        <v>22</v>
      </c>
      <c r="D170" s="4" t="s">
        <v>12</v>
      </c>
      <c r="E170" s="5">
        <v>16.043648999999998</v>
      </c>
      <c r="F170" s="7"/>
      <c r="G170" s="7"/>
      <c r="H170" s="7"/>
      <c r="I170" s="2">
        <f>((F170+G170+H170)*1000)/(E170*10^6)</f>
        <v>0</v>
      </c>
      <c r="J170" s="5">
        <v>52289081.911122605</v>
      </c>
    </row>
    <row r="171" spans="1:10" ht="13.25" customHeight="1" x14ac:dyDescent="0.2">
      <c r="A171" s="4" t="s">
        <v>21</v>
      </c>
      <c r="B171" s="5">
        <v>2021</v>
      </c>
      <c r="C171" s="4" t="s">
        <v>37</v>
      </c>
      <c r="D171" s="4" t="s">
        <v>12</v>
      </c>
      <c r="E171" s="5">
        <v>17.323338</v>
      </c>
      <c r="F171" s="7"/>
      <c r="G171" s="7"/>
      <c r="H171" s="7"/>
      <c r="I171" s="2">
        <f>((F171+G171+H171)*1000)/(E171*10^6)</f>
        <v>0</v>
      </c>
      <c r="J171" s="5">
        <v>87089877.906409264</v>
      </c>
    </row>
    <row r="172" spans="1:10" ht="13.25" customHeight="1" x14ac:dyDescent="0.2">
      <c r="A172" s="4" t="s">
        <v>21</v>
      </c>
      <c r="B172" s="5">
        <v>2021</v>
      </c>
      <c r="C172" s="4" t="s">
        <v>23</v>
      </c>
      <c r="D172" s="4" t="s">
        <v>12</v>
      </c>
      <c r="E172" s="5">
        <v>54.356999999999999</v>
      </c>
      <c r="F172" s="7"/>
      <c r="G172" s="7"/>
      <c r="H172" s="7"/>
      <c r="I172" s="2">
        <f>((F172+G172+H172)*1000)/(E172*10^6)</f>
        <v>0</v>
      </c>
      <c r="J172" s="5">
        <v>346765437.23015153</v>
      </c>
    </row>
    <row r="173" spans="1:10" ht="13.25" customHeight="1" x14ac:dyDescent="0.2">
      <c r="A173" s="4" t="s">
        <v>26</v>
      </c>
      <c r="B173" s="5">
        <v>2022</v>
      </c>
      <c r="C173" s="4" t="s">
        <v>38</v>
      </c>
      <c r="D173" s="4" t="s">
        <v>12</v>
      </c>
      <c r="E173" s="5">
        <v>11.093129339997271</v>
      </c>
      <c r="F173" s="8">
        <v>0</v>
      </c>
      <c r="G173" s="8">
        <v>0</v>
      </c>
      <c r="H173" s="8">
        <v>0</v>
      </c>
      <c r="I173" s="2">
        <f>((F173+G173+H173)*1000)/(E173*10^6)</f>
        <v>0</v>
      </c>
      <c r="J173" s="5">
        <v>0</v>
      </c>
    </row>
    <row r="174" spans="1:10" ht="13.25" customHeight="1" x14ac:dyDescent="0.2">
      <c r="A174" s="4" t="s">
        <v>26</v>
      </c>
      <c r="B174" s="5">
        <v>2022</v>
      </c>
      <c r="C174" s="4" t="s">
        <v>28</v>
      </c>
      <c r="D174" s="4" t="s">
        <v>12</v>
      </c>
      <c r="E174" s="5">
        <v>34.752626039995889</v>
      </c>
      <c r="F174" s="8">
        <v>0</v>
      </c>
      <c r="G174" s="8">
        <v>0</v>
      </c>
      <c r="H174" s="8">
        <v>0</v>
      </c>
      <c r="I174" s="2">
        <f>((F174+G174+H174)*1000)/(E174*10^6)</f>
        <v>0</v>
      </c>
      <c r="J174" s="5">
        <v>83524669.791358963</v>
      </c>
    </row>
    <row r="175" spans="1:10" ht="13.25" customHeight="1" x14ac:dyDescent="0.2">
      <c r="A175" s="4" t="s">
        <v>26</v>
      </c>
      <c r="B175" s="5">
        <v>2022</v>
      </c>
      <c r="C175" s="4" t="s">
        <v>29</v>
      </c>
      <c r="D175" s="4" t="s">
        <v>12</v>
      </c>
      <c r="E175" s="5">
        <v>72.121750407104102</v>
      </c>
      <c r="F175" s="8">
        <v>0</v>
      </c>
      <c r="G175" s="8">
        <v>0</v>
      </c>
      <c r="H175" s="8">
        <v>0</v>
      </c>
      <c r="I175" s="2">
        <f>((F175+G175+H175)*1000)/(E175*10^6)</f>
        <v>0</v>
      </c>
      <c r="J175" s="5">
        <v>180416845.86505449</v>
      </c>
    </row>
    <row r="176" spans="1:10" ht="13.25" customHeight="1" x14ac:dyDescent="0.2">
      <c r="A176" s="4" t="s">
        <v>26</v>
      </c>
      <c r="B176" s="5">
        <v>2022</v>
      </c>
      <c r="C176" s="4" t="s">
        <v>30</v>
      </c>
      <c r="D176" s="4" t="s">
        <v>13</v>
      </c>
      <c r="E176" s="5">
        <v>58.025566819993195</v>
      </c>
      <c r="F176" s="8">
        <v>1041.8130535301111</v>
      </c>
      <c r="G176" s="8">
        <v>93874510.701458782</v>
      </c>
      <c r="H176" s="8">
        <v>2837.7719834179188</v>
      </c>
      <c r="I176" s="2">
        <f>((F176+G176+H176)*1000)/(E176*10^6)</f>
        <v>1617.8797628591046</v>
      </c>
      <c r="J176" s="5">
        <v>0</v>
      </c>
    </row>
    <row r="177" spans="1:10" ht="13.25" customHeight="1" x14ac:dyDescent="0.2">
      <c r="A177" s="4" t="s">
        <v>26</v>
      </c>
      <c r="B177" s="5">
        <v>2022</v>
      </c>
      <c r="C177" s="4" t="s">
        <v>31</v>
      </c>
      <c r="D177" s="4" t="s">
        <v>13</v>
      </c>
      <c r="E177" s="5">
        <v>1.8084000000000006E-3</v>
      </c>
      <c r="F177" s="8">
        <v>0.17175280676382465</v>
      </c>
      <c r="G177" s="8">
        <v>9618.4513255623078</v>
      </c>
      <c r="H177" s="8">
        <v>0.29076020201429931</v>
      </c>
      <c r="I177" s="2">
        <f>((F177+G177+H177)*1000)/(E177*10^6)</f>
        <v>5319.0189330740341</v>
      </c>
      <c r="J177" s="5">
        <v>0</v>
      </c>
    </row>
    <row r="178" spans="1:10" ht="13.25" customHeight="1" x14ac:dyDescent="0.2">
      <c r="A178" s="4" t="s">
        <v>26</v>
      </c>
      <c r="B178" s="5">
        <v>2022</v>
      </c>
      <c r="C178" s="4" t="s">
        <v>32</v>
      </c>
      <c r="D178" s="4" t="s">
        <v>13</v>
      </c>
      <c r="E178" s="5">
        <v>13.029820839999388</v>
      </c>
      <c r="F178" s="8">
        <v>397.09371763494562</v>
      </c>
      <c r="G178" s="8">
        <v>32057747.486697122</v>
      </c>
      <c r="H178" s="8">
        <v>969.08710351149159</v>
      </c>
      <c r="I178" s="2">
        <f>((F178+G178+H178)*1000)/(E178*10^6)</f>
        <v>2460.4416331728912</v>
      </c>
      <c r="J178" s="5">
        <v>0</v>
      </c>
    </row>
    <row r="179" spans="1:10" ht="13.25" customHeight="1" x14ac:dyDescent="0.2">
      <c r="A179" s="4" t="s">
        <v>36</v>
      </c>
      <c r="B179" s="5">
        <v>2022</v>
      </c>
      <c r="C179" s="4" t="s">
        <v>11</v>
      </c>
      <c r="D179" s="4" t="s">
        <v>13</v>
      </c>
      <c r="E179" s="5">
        <v>14.782481621629147</v>
      </c>
      <c r="F179" s="8">
        <v>299.38068221456405</v>
      </c>
      <c r="G179" s="8">
        <v>26200491.717190541</v>
      </c>
      <c r="H179" s="8">
        <v>792.02566054665078</v>
      </c>
      <c r="I179" s="2">
        <f>((F179+G179+H179)*1000)/(E179*10^6)</f>
        <v>1772.4752713506628</v>
      </c>
      <c r="J179" s="5">
        <v>0</v>
      </c>
    </row>
    <row r="180" spans="1:10" ht="13.25" customHeight="1" x14ac:dyDescent="0.2">
      <c r="A180" s="4" t="s">
        <v>14</v>
      </c>
      <c r="B180" s="5">
        <v>2022</v>
      </c>
      <c r="C180" s="4" t="s">
        <v>15</v>
      </c>
      <c r="D180" s="4" t="s">
        <v>13</v>
      </c>
      <c r="E180" s="5">
        <v>3.7700326399999988</v>
      </c>
      <c r="F180" s="8">
        <v>168.27455648273016</v>
      </c>
      <c r="G180" s="8">
        <v>3634303.8780671991</v>
      </c>
      <c r="H180" s="8">
        <v>112.78083432448</v>
      </c>
      <c r="I180" s="2">
        <f>((F180+G180+H180)*1000)/(E180*10^6)</f>
        <v>964.07253743511558</v>
      </c>
      <c r="J180" s="5">
        <v>0</v>
      </c>
    </row>
    <row r="181" spans="1:10" ht="13.25" customHeight="1" x14ac:dyDescent="0.2">
      <c r="A181" s="4" t="s">
        <v>14</v>
      </c>
      <c r="B181" s="5">
        <v>2022</v>
      </c>
      <c r="C181" s="4" t="s">
        <v>16</v>
      </c>
      <c r="D181" s="4" t="s">
        <v>13</v>
      </c>
      <c r="E181" s="5">
        <v>3.0211315000000001</v>
      </c>
      <c r="F181" s="8">
        <v>68.432180887005941</v>
      </c>
      <c r="G181" s="8">
        <v>3211848.03918888</v>
      </c>
      <c r="H181" s="8">
        <v>97.092302399232011</v>
      </c>
      <c r="I181" s="2">
        <f>((F181+G181+H181)*1000)/(E181*10^6)</f>
        <v>1063.1823089038548</v>
      </c>
      <c r="J181" s="5">
        <v>0</v>
      </c>
    </row>
    <row r="182" spans="1:10" ht="13.25" customHeight="1" x14ac:dyDescent="0.2">
      <c r="A182" s="4" t="s">
        <v>14</v>
      </c>
      <c r="B182" s="5">
        <v>2022</v>
      </c>
      <c r="C182" s="4" t="s">
        <v>17</v>
      </c>
      <c r="D182" s="4" t="s">
        <v>13</v>
      </c>
      <c r="E182" s="5">
        <v>18.081141859999999</v>
      </c>
      <c r="F182" s="8">
        <v>139.12169468904889</v>
      </c>
      <c r="G182" s="8">
        <v>19589860.11504405</v>
      </c>
      <c r="H182" s="8">
        <v>598.39071960752017</v>
      </c>
      <c r="I182" s="2">
        <f>((F182+G182+H182)*1000)/(E182*10^6)</f>
        <v>1083.4823253501283</v>
      </c>
      <c r="J182" s="5">
        <v>0</v>
      </c>
    </row>
    <row r="183" spans="1:10" ht="13.25" customHeight="1" x14ac:dyDescent="0.2">
      <c r="A183" s="4" t="s">
        <v>14</v>
      </c>
      <c r="B183" s="5">
        <v>2022</v>
      </c>
      <c r="C183" s="4" t="s">
        <v>19</v>
      </c>
      <c r="D183" s="4" t="s">
        <v>13</v>
      </c>
      <c r="E183" s="5">
        <v>0.74723399999999995</v>
      </c>
      <c r="F183" s="8">
        <v>8.2636810610212059</v>
      </c>
      <c r="G183" s="8">
        <v>584121.34505858819</v>
      </c>
      <c r="H183" s="8">
        <v>17.657649297317651</v>
      </c>
      <c r="I183" s="2">
        <f>((F183+G183+H183)*1000)/(E183*10^6)</f>
        <v>781.74610147416524</v>
      </c>
      <c r="J183" s="5">
        <v>0</v>
      </c>
    </row>
    <row r="184" spans="1:10" ht="13.25" customHeight="1" x14ac:dyDescent="0.2">
      <c r="A184" s="4" t="s">
        <v>14</v>
      </c>
      <c r="B184" s="5">
        <v>2022</v>
      </c>
      <c r="C184" s="4" t="s">
        <v>24</v>
      </c>
      <c r="D184" s="4" t="s">
        <v>12</v>
      </c>
      <c r="E184" s="5">
        <v>4.1082729230769228</v>
      </c>
      <c r="F184" s="9">
        <v>0</v>
      </c>
      <c r="G184" s="9">
        <v>0</v>
      </c>
      <c r="H184" s="9">
        <v>0</v>
      </c>
      <c r="I184" s="2">
        <f>((F184+G184+H184)*1000)/(E184*10^6)</f>
        <v>0</v>
      </c>
      <c r="J184" s="5">
        <v>5354449.0430769231</v>
      </c>
    </row>
    <row r="185" spans="1:10" ht="13.25" customHeight="1" x14ac:dyDescent="0.2">
      <c r="A185" s="4" t="s">
        <v>14</v>
      </c>
      <c r="B185" s="5">
        <v>2022</v>
      </c>
      <c r="C185" s="4" t="s">
        <v>25</v>
      </c>
      <c r="D185" s="4" t="s">
        <v>12</v>
      </c>
      <c r="E185" s="5">
        <v>6.6649850769230774</v>
      </c>
      <c r="F185" s="8">
        <v>0</v>
      </c>
      <c r="G185" s="8">
        <v>0</v>
      </c>
      <c r="H185" s="8">
        <v>0</v>
      </c>
      <c r="I185" s="2">
        <f>((F185+G185+H185)*1000)/(E185*10^6)</f>
        <v>0</v>
      </c>
      <c r="J185" s="5">
        <v>8686697.2169230767</v>
      </c>
    </row>
    <row r="186" spans="1:10" ht="13.25" customHeight="1" x14ac:dyDescent="0.2">
      <c r="A186" s="4" t="s">
        <v>14</v>
      </c>
      <c r="B186" s="5">
        <v>2022</v>
      </c>
      <c r="C186" s="4" t="s">
        <v>20</v>
      </c>
      <c r="D186" s="4" t="s">
        <v>13</v>
      </c>
      <c r="E186" s="5">
        <v>0.79600000000000004</v>
      </c>
      <c r="F186" s="9">
        <v>13.431618271853843</v>
      </c>
      <c r="G186" s="9">
        <v>705207.9216</v>
      </c>
      <c r="H186" s="9">
        <v>21.318026240000002</v>
      </c>
      <c r="I186" s="2">
        <f>((F186+G186+H186)*1000)/(E186*10^6)</f>
        <v>885.98325533230127</v>
      </c>
      <c r="J186" s="5">
        <v>0</v>
      </c>
    </row>
    <row r="187" spans="1:10" ht="13.25" customHeight="1" x14ac:dyDescent="0.2">
      <c r="A187" s="4" t="s">
        <v>21</v>
      </c>
      <c r="B187" s="5">
        <v>2022</v>
      </c>
      <c r="C187" s="4" t="s">
        <v>22</v>
      </c>
      <c r="D187" s="4" t="s">
        <v>12</v>
      </c>
      <c r="E187" s="5">
        <v>16.196999999999999</v>
      </c>
      <c r="F187" s="7"/>
      <c r="G187" s="7"/>
      <c r="H187" s="7"/>
      <c r="I187" s="2">
        <f>((F187+G187+H187)*1000)/(E187*10^6)</f>
        <v>0</v>
      </c>
      <c r="J187" s="5">
        <v>52788879.868566856</v>
      </c>
    </row>
    <row r="188" spans="1:10" ht="13.25" customHeight="1" x14ac:dyDescent="0.2">
      <c r="A188" s="4" t="s">
        <v>21</v>
      </c>
      <c r="B188" s="5">
        <v>2022</v>
      </c>
      <c r="C188" s="4" t="s">
        <v>37</v>
      </c>
      <c r="D188" s="4" t="s">
        <v>12</v>
      </c>
      <c r="E188" s="5">
        <v>17.754000000000001</v>
      </c>
      <c r="F188" s="10"/>
      <c r="G188" s="10"/>
      <c r="H188" s="10"/>
      <c r="I188" s="2">
        <f>((F188+G188+H188)*1000)/(E188*10^6)</f>
        <v>0</v>
      </c>
      <c r="J188" s="5">
        <v>89254951.462032899</v>
      </c>
    </row>
    <row r="189" spans="1:10" ht="13.25" customHeight="1" x14ac:dyDescent="0.2">
      <c r="A189" s="4" t="s">
        <v>21</v>
      </c>
      <c r="B189" s="5">
        <v>2022</v>
      </c>
      <c r="C189" s="4" t="s">
        <v>23</v>
      </c>
      <c r="D189" s="4" t="s">
        <v>12</v>
      </c>
      <c r="E189" s="5">
        <v>57</v>
      </c>
      <c r="F189" s="7"/>
      <c r="G189" s="7"/>
      <c r="H189" s="7"/>
      <c r="I189" s="2">
        <f>((F189+G189+H189)*1000)/(E189*10^6)</f>
        <v>0</v>
      </c>
      <c r="J189" s="5">
        <v>363626210.4626568</v>
      </c>
    </row>
    <row r="190" spans="1:10" ht="13.25" customHeight="1" x14ac:dyDescent="0.2">
      <c r="A190" s="4" t="s">
        <v>26</v>
      </c>
      <c r="B190" s="5">
        <v>2023</v>
      </c>
      <c r="C190" s="4" t="s">
        <v>38</v>
      </c>
      <c r="D190" s="4" t="s">
        <v>12</v>
      </c>
      <c r="E190" s="5">
        <v>16.308642899999992</v>
      </c>
      <c r="F190" s="9">
        <v>0</v>
      </c>
      <c r="G190" s="9">
        <v>0</v>
      </c>
      <c r="H190" s="9">
        <v>0</v>
      </c>
      <c r="I190" s="2">
        <f>((F190+G190+H190)*1000)/(E190*10^6)</f>
        <v>0</v>
      </c>
      <c r="J190" s="5">
        <v>0</v>
      </c>
    </row>
    <row r="191" spans="1:10" ht="13.25" customHeight="1" x14ac:dyDescent="0.2">
      <c r="A191" s="4" t="s">
        <v>26</v>
      </c>
      <c r="B191" s="5">
        <v>2023</v>
      </c>
      <c r="C191" s="4" t="s">
        <v>28</v>
      </c>
      <c r="D191" s="4" t="s">
        <v>12</v>
      </c>
      <c r="E191" s="5">
        <v>35.25661889999995</v>
      </c>
      <c r="F191" s="8">
        <v>0</v>
      </c>
      <c r="G191" s="8">
        <v>0</v>
      </c>
      <c r="H191" s="8">
        <v>0</v>
      </c>
      <c r="I191" s="2">
        <f>((F191+G191+H191)*1000)/(E191*10^6)</f>
        <v>0</v>
      </c>
      <c r="J191" s="5">
        <v>84735969.252890185</v>
      </c>
    </row>
    <row r="192" spans="1:10" ht="13.25" customHeight="1" x14ac:dyDescent="0.2">
      <c r="A192" s="4" t="s">
        <v>26</v>
      </c>
      <c r="B192" s="5">
        <v>2023</v>
      </c>
      <c r="C192" s="4" t="s">
        <v>29</v>
      </c>
      <c r="D192" s="4" t="s">
        <v>12</v>
      </c>
      <c r="E192" s="5">
        <v>6.1756497000000001</v>
      </c>
      <c r="F192" s="9">
        <v>0</v>
      </c>
      <c r="G192" s="9">
        <v>0</v>
      </c>
      <c r="H192" s="9">
        <v>0</v>
      </c>
      <c r="I192" s="2">
        <f>((F192+G192+H192)*1000)/(E192*10^6)</f>
        <v>0</v>
      </c>
      <c r="J192" s="5">
        <v>15448754.831270987</v>
      </c>
    </row>
    <row r="193" spans="1:10" ht="13.25" customHeight="1" x14ac:dyDescent="0.2">
      <c r="A193" s="4" t="s">
        <v>26</v>
      </c>
      <c r="B193" s="5">
        <v>2023</v>
      </c>
      <c r="C193" s="4" t="s">
        <v>30</v>
      </c>
      <c r="D193" s="4" t="s">
        <v>13</v>
      </c>
      <c r="E193" s="5">
        <v>57.257325400000006</v>
      </c>
      <c r="F193" s="8">
        <v>1028.0197554466245</v>
      </c>
      <c r="G193" s="8">
        <v>92631639.819625244</v>
      </c>
      <c r="H193" s="8">
        <v>2800.200717894204</v>
      </c>
      <c r="I193" s="2">
        <f>((F193+G193+H193)*1000)/(E193*10^6)</f>
        <v>1617.8797628591044</v>
      </c>
      <c r="J193" s="5">
        <v>0</v>
      </c>
    </row>
    <row r="194" spans="1:10" ht="13.25" customHeight="1" x14ac:dyDescent="0.2">
      <c r="A194" s="4" t="s">
        <v>26</v>
      </c>
      <c r="B194" s="5">
        <v>2023</v>
      </c>
      <c r="C194" s="4" t="s">
        <v>32</v>
      </c>
      <c r="D194" s="4" t="s">
        <v>13</v>
      </c>
      <c r="E194" s="5">
        <v>11.553990000000011</v>
      </c>
      <c r="F194" s="9">
        <v>352.11664833736859</v>
      </c>
      <c r="G194" s="9">
        <v>28426706.585770737</v>
      </c>
      <c r="H194" s="9">
        <v>859.322844158252</v>
      </c>
      <c r="I194" s="2">
        <f>((F194+G194+H194)*1000)/(E194*10^6)</f>
        <v>2460.4416331728871</v>
      </c>
      <c r="J194" s="5">
        <v>0</v>
      </c>
    </row>
    <row r="195" spans="1:10" ht="13.25" customHeight="1" x14ac:dyDescent="0.2">
      <c r="A195" s="4" t="s">
        <v>36</v>
      </c>
      <c r="B195" s="5">
        <v>2023</v>
      </c>
      <c r="C195" s="4" t="s">
        <v>11</v>
      </c>
      <c r="D195" s="4" t="s">
        <v>13</v>
      </c>
      <c r="E195" s="5">
        <v>14.729608987524248</v>
      </c>
      <c r="F195" s="8">
        <v>295.42916683127538</v>
      </c>
      <c r="G195" s="8">
        <v>25913501.244124524</v>
      </c>
      <c r="H195" s="8">
        <v>783.35010508554581</v>
      </c>
      <c r="I195" s="2">
        <f>((F195+G195+H195)*1000)/(E195*10^6)</f>
        <v>1759.3528820314027</v>
      </c>
      <c r="J195" s="5">
        <v>0</v>
      </c>
    </row>
    <row r="196" spans="1:10" ht="13.25" customHeight="1" x14ac:dyDescent="0.2">
      <c r="A196" s="4" t="s">
        <v>14</v>
      </c>
      <c r="B196" s="5">
        <v>2023</v>
      </c>
      <c r="C196" s="4" t="s">
        <v>15</v>
      </c>
      <c r="D196" s="4" t="s">
        <v>13</v>
      </c>
      <c r="E196" s="5">
        <v>3.7358057599999999</v>
      </c>
      <c r="F196" s="9">
        <v>166.51013926025456</v>
      </c>
      <c r="G196" s="9">
        <v>3596784.9883679999</v>
      </c>
      <c r="H196" s="9">
        <v>111.57530926080003</v>
      </c>
      <c r="I196" s="2">
        <f>((F196+G196+H196)*1000)/(E196*10^6)</f>
        <v>962.86137580571676</v>
      </c>
      <c r="J196" s="5">
        <v>0</v>
      </c>
    </row>
    <row r="197" spans="1:10" ht="13.25" customHeight="1" x14ac:dyDescent="0.2">
      <c r="A197" s="4" t="s">
        <v>14</v>
      </c>
      <c r="B197" s="5">
        <v>2023</v>
      </c>
      <c r="C197" s="4" t="s">
        <v>16</v>
      </c>
      <c r="D197" s="4" t="s">
        <v>13</v>
      </c>
      <c r="E197" s="5">
        <v>3.0497709999999998</v>
      </c>
      <c r="F197" s="8">
        <v>69.080899237899771</v>
      </c>
      <c r="G197" s="8">
        <v>3242295.4797979197</v>
      </c>
      <c r="H197" s="8">
        <v>98.012710860287996</v>
      </c>
      <c r="I197" s="2">
        <f>((F197+G197+H197)*1000)/(E197*10^6)</f>
        <v>1063.1823089038548</v>
      </c>
      <c r="J197" s="5">
        <v>0</v>
      </c>
    </row>
    <row r="198" spans="1:10" ht="13.25" customHeight="1" x14ac:dyDescent="0.2">
      <c r="A198" s="4" t="s">
        <v>14</v>
      </c>
      <c r="B198" s="5">
        <v>2023</v>
      </c>
      <c r="C198" s="4" t="s">
        <v>17</v>
      </c>
      <c r="D198" s="4" t="s">
        <v>13</v>
      </c>
      <c r="E198" s="5">
        <v>17.89936484</v>
      </c>
      <c r="F198" s="9">
        <v>137.75808250179244</v>
      </c>
      <c r="G198" s="9">
        <v>19399159.347909898</v>
      </c>
      <c r="H198" s="9">
        <v>592.47432562976007</v>
      </c>
      <c r="I198" s="2">
        <f>((F198+G198+H198)*1000)/(E198*10^6)</f>
        <v>1083.8311724315929</v>
      </c>
      <c r="J198" s="5">
        <v>0</v>
      </c>
    </row>
    <row r="199" spans="1:10" ht="13.25" customHeight="1" x14ac:dyDescent="0.2">
      <c r="A199" s="4" t="s">
        <v>14</v>
      </c>
      <c r="B199" s="5">
        <v>2023</v>
      </c>
      <c r="C199" s="4" t="s">
        <v>19</v>
      </c>
      <c r="D199" s="4" t="s">
        <v>13</v>
      </c>
      <c r="E199" s="5">
        <v>0.76120600000000005</v>
      </c>
      <c r="F199" s="8">
        <v>8.4181977877555205</v>
      </c>
      <c r="G199" s="8">
        <v>595043.41690376471</v>
      </c>
      <c r="H199" s="8">
        <v>17.987817191152942</v>
      </c>
      <c r="I199" s="2">
        <f>((F199+G199+H199)*1000)/(E199*10^6)</f>
        <v>781.74610147416547</v>
      </c>
      <c r="J199" s="5">
        <v>0</v>
      </c>
    </row>
    <row r="200" spans="1:10" ht="13.25" customHeight="1" x14ac:dyDescent="0.2">
      <c r="A200" s="4" t="s">
        <v>14</v>
      </c>
      <c r="B200" s="5">
        <v>2023</v>
      </c>
      <c r="C200" s="4" t="s">
        <v>24</v>
      </c>
      <c r="D200" s="4" t="s">
        <v>12</v>
      </c>
      <c r="E200" s="5">
        <v>4.2180909230769226</v>
      </c>
      <c r="F200" s="9">
        <v>0</v>
      </c>
      <c r="G200" s="9">
        <v>0</v>
      </c>
      <c r="H200" s="9">
        <v>0</v>
      </c>
      <c r="I200" s="2">
        <f>((F200+G200+H200)*1000)/(E200*10^6)</f>
        <v>0</v>
      </c>
      <c r="J200" s="5">
        <v>5497578.5030769231</v>
      </c>
    </row>
    <row r="201" spans="1:10" ht="13.25" customHeight="1" x14ac:dyDescent="0.2">
      <c r="A201" s="4" t="s">
        <v>14</v>
      </c>
      <c r="B201" s="5">
        <v>2023</v>
      </c>
      <c r="C201" s="4" t="s">
        <v>25</v>
      </c>
      <c r="D201" s="4" t="s">
        <v>12</v>
      </c>
      <c r="E201" s="5">
        <v>8.1236840769230767</v>
      </c>
      <c r="F201" s="8">
        <v>0</v>
      </c>
      <c r="G201" s="8">
        <v>0</v>
      </c>
      <c r="H201" s="8">
        <v>0</v>
      </c>
      <c r="I201" s="2">
        <f>((F201+G201+H201)*1000)/(E201*10^6)</f>
        <v>0</v>
      </c>
      <c r="J201" s="5">
        <v>10587868.246923076</v>
      </c>
    </row>
    <row r="202" spans="1:10" ht="13.25" customHeight="1" x14ac:dyDescent="0.2">
      <c r="A202" s="4" t="s">
        <v>14</v>
      </c>
      <c r="B202" s="5">
        <v>2023</v>
      </c>
      <c r="C202" s="4" t="s">
        <v>20</v>
      </c>
      <c r="D202" s="4" t="s">
        <v>13</v>
      </c>
      <c r="E202" s="5">
        <v>0.79600000000000004</v>
      </c>
      <c r="F202" s="9">
        <v>13.431618271853843</v>
      </c>
      <c r="G202" s="9">
        <v>705207.9216</v>
      </c>
      <c r="H202" s="9">
        <v>21.318026240000002</v>
      </c>
      <c r="I202" s="2">
        <f>((F202+G202+H202)*1000)/(E202*10^6)</f>
        <v>885.98325533230127</v>
      </c>
      <c r="J202" s="5">
        <v>0</v>
      </c>
    </row>
    <row r="203" spans="1:10" ht="13.25" customHeight="1" x14ac:dyDescent="0.2">
      <c r="A203" s="4" t="s">
        <v>21</v>
      </c>
      <c r="B203" s="5">
        <v>2023</v>
      </c>
      <c r="C203" s="4" t="s">
        <v>22</v>
      </c>
      <c r="D203" s="4" t="s">
        <v>12</v>
      </c>
      <c r="E203" s="5">
        <v>16.308363</v>
      </c>
      <c r="F203" s="7"/>
      <c r="G203" s="7"/>
      <c r="H203" s="7"/>
      <c r="I203" s="2">
        <f>((F203+G203+H203)*1000)/(E203*10^6)</f>
        <v>0</v>
      </c>
      <c r="J203" s="5">
        <v>53151831.528059557</v>
      </c>
    </row>
    <row r="204" spans="1:10" ht="13.25" customHeight="1" x14ac:dyDescent="0.2">
      <c r="A204" s="4" t="s">
        <v>21</v>
      </c>
      <c r="B204" s="5">
        <v>2023</v>
      </c>
      <c r="C204" s="4" t="s">
        <v>37</v>
      </c>
      <c r="D204" s="4" t="s">
        <v>12</v>
      </c>
      <c r="E204" s="5">
        <v>17.355519000000001</v>
      </c>
      <c r="F204" s="10"/>
      <c r="G204" s="10"/>
      <c r="H204" s="10"/>
      <c r="I204" s="2">
        <f>((F204+G204+H204)*1000)/(E204*10^6)</f>
        <v>0</v>
      </c>
      <c r="J204" s="5">
        <v>87251661.932149917</v>
      </c>
    </row>
    <row r="205" spans="1:10" ht="13.25" customHeight="1" x14ac:dyDescent="0.2">
      <c r="A205" s="4" t="s">
        <v>21</v>
      </c>
      <c r="B205" s="5">
        <v>2023</v>
      </c>
      <c r="C205" s="4" t="s">
        <v>23</v>
      </c>
      <c r="D205" s="4" t="s">
        <v>12</v>
      </c>
      <c r="E205" s="5">
        <v>55.052999999999997</v>
      </c>
      <c r="F205" s="7"/>
      <c r="G205" s="7"/>
      <c r="H205" s="7"/>
      <c r="I205" s="2">
        <f>((F205+G205+H205)*1000)/(E205*10^6)</f>
        <v>0</v>
      </c>
      <c r="J205" s="5">
        <v>351205504.64211655</v>
      </c>
    </row>
    <row r="206" spans="1:10" ht="13.25" customHeight="1" x14ac:dyDescent="0.2">
      <c r="A206" s="11"/>
      <c r="B206" s="11"/>
      <c r="C206" s="11"/>
      <c r="D206" s="11"/>
      <c r="E206" s="11"/>
      <c r="F206" s="11"/>
      <c r="G206" s="11"/>
      <c r="H206" s="11"/>
    </row>
    <row r="208" spans="1:10" ht="13.25" customHeight="1" x14ac:dyDescent="0.2">
      <c r="A208" s="11"/>
      <c r="B208" s="11"/>
      <c r="C208" s="11"/>
      <c r="D208" s="11"/>
      <c r="E208" s="11"/>
      <c r="F208" s="11"/>
      <c r="G208" s="11"/>
      <c r="H208" s="1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Annex 3B-13-1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Simona Tican</dc:creator>
  <cp:lastModifiedBy>Simona Tican</cp:lastModifiedBy>
  <dcterms:created xsi:type="dcterms:W3CDTF">2025-11-21T00:06:54Z</dcterms:created>
  <dcterms:modified xsi:type="dcterms:W3CDTF">2025-11-21T08:59:01Z</dcterms:modified>
</cp:coreProperties>
</file>